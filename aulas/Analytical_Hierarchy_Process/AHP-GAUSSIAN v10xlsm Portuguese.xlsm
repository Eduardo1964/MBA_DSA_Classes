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CEGE\OneDrive - Pecege (1)\semana 15 a 20.08.2022\Marcos dos Santos 16.08.2022\Material complementar\"/>
    </mc:Choice>
  </mc:AlternateContent>
  <xr:revisionPtr revIDLastSave="0" documentId="8_{7CECF41F-587F-4051-A59A-2B1809546B75}" xr6:coauthVersionLast="47" xr6:coauthVersionMax="47" xr10:uidLastSave="{00000000-0000-0000-0000-000000000000}"/>
  <bookViews>
    <workbookView xWindow="-120" yWindow="-120" windowWidth="20730" windowHeight="11160" firstSheet="1" activeTab="2" xr2:uid="{9BB292B8-4BA2-4474-BAC0-D3E9455148E6}"/>
  </bookViews>
  <sheets>
    <sheet name="Planilha1" sheetId="1" state="hidden" r:id="rId1"/>
    <sheet name="AHP-GAUSSIANO" sheetId="2" r:id="rId2"/>
    <sheet name="AHP-GAUSSIANO Formula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H45" i="2" l="1"/>
  <c r="I45" i="2"/>
  <c r="G44" i="2"/>
  <c r="H44" i="2"/>
  <c r="G43" i="2"/>
  <c r="C39" i="2"/>
  <c r="C45" i="2" s="1"/>
  <c r="D39" i="2"/>
  <c r="D43" i="2" s="1"/>
  <c r="E39" i="2"/>
  <c r="E44" i="2" s="1"/>
  <c r="F39" i="2"/>
  <c r="F45" i="2" s="1"/>
  <c r="G39" i="2"/>
  <c r="H39" i="2"/>
  <c r="H43" i="2" s="1"/>
  <c r="I39" i="2"/>
  <c r="I44" i="2" s="1"/>
  <c r="J39" i="2"/>
  <c r="J45" i="2" s="1"/>
  <c r="K39" i="2"/>
  <c r="K45" i="2" s="1"/>
  <c r="C40" i="2"/>
  <c r="D40" i="2"/>
  <c r="E40" i="2"/>
  <c r="F40" i="2"/>
  <c r="G40" i="2"/>
  <c r="H40" i="2"/>
  <c r="I40" i="2"/>
  <c r="J40" i="2"/>
  <c r="K40" i="2"/>
  <c r="K44" i="2" s="1"/>
  <c r="C41" i="2"/>
  <c r="D41" i="2"/>
  <c r="E41" i="2"/>
  <c r="F41" i="2"/>
  <c r="G41" i="2"/>
  <c r="G45" i="2" s="1"/>
  <c r="H41" i="2"/>
  <c r="I41" i="2"/>
  <c r="J41" i="2"/>
  <c r="J43" i="2" s="1"/>
  <c r="K41" i="2"/>
  <c r="C27" i="2"/>
  <c r="N27" i="2" s="1"/>
  <c r="D27" i="2"/>
  <c r="E27" i="2"/>
  <c r="F27" i="2"/>
  <c r="G27" i="2"/>
  <c r="H27" i="2"/>
  <c r="I27" i="2"/>
  <c r="J27" i="2"/>
  <c r="K27" i="2"/>
  <c r="C28" i="2"/>
  <c r="N28" i="2" s="1"/>
  <c r="D28" i="2"/>
  <c r="E28" i="2"/>
  <c r="F28" i="2"/>
  <c r="G28" i="2"/>
  <c r="H28" i="2"/>
  <c r="I28" i="2"/>
  <c r="J28" i="2"/>
  <c r="K28" i="2"/>
  <c r="C29" i="2"/>
  <c r="D29" i="2"/>
  <c r="E29" i="2"/>
  <c r="N29" i="2" s="1"/>
  <c r="F29" i="2"/>
  <c r="G29" i="2"/>
  <c r="H29" i="2"/>
  <c r="I29" i="2"/>
  <c r="J29" i="2"/>
  <c r="K29" i="2"/>
  <c r="C30" i="2"/>
  <c r="N30" i="2" s="1"/>
  <c r="D30" i="2"/>
  <c r="E30" i="2"/>
  <c r="F30" i="2"/>
  <c r="G30" i="2"/>
  <c r="H30" i="2"/>
  <c r="I30" i="2"/>
  <c r="J30" i="2"/>
  <c r="K30" i="2"/>
  <c r="C31" i="2"/>
  <c r="N31" i="2" s="1"/>
  <c r="D31" i="2"/>
  <c r="E31" i="2"/>
  <c r="F31" i="2"/>
  <c r="G31" i="2"/>
  <c r="H31" i="2"/>
  <c r="I31" i="2"/>
  <c r="J31" i="2"/>
  <c r="K31" i="2"/>
  <c r="C32" i="2"/>
  <c r="N32" i="2" s="1"/>
  <c r="D32" i="2"/>
  <c r="E32" i="2"/>
  <c r="F32" i="2"/>
  <c r="G32" i="2"/>
  <c r="H32" i="2"/>
  <c r="I32" i="2"/>
  <c r="J32" i="2"/>
  <c r="K32" i="2"/>
  <c r="C33" i="2"/>
  <c r="N33" i="2" s="1"/>
  <c r="D33" i="2"/>
  <c r="E33" i="2"/>
  <c r="F33" i="2"/>
  <c r="G33" i="2"/>
  <c r="H33" i="2"/>
  <c r="I33" i="2"/>
  <c r="J33" i="2"/>
  <c r="K33" i="2"/>
  <c r="C34" i="2"/>
  <c r="D34" i="2"/>
  <c r="E34" i="2"/>
  <c r="F34" i="2"/>
  <c r="G34" i="2"/>
  <c r="H34" i="2"/>
  <c r="I34" i="2"/>
  <c r="J34" i="2"/>
  <c r="N34" i="2" s="1"/>
  <c r="P34" i="2" s="1"/>
  <c r="K34" i="2"/>
  <c r="C35" i="2"/>
  <c r="N35" i="2" s="1"/>
  <c r="D35" i="2"/>
  <c r="E35" i="2"/>
  <c r="F35" i="2"/>
  <c r="G35" i="2"/>
  <c r="H35" i="2"/>
  <c r="I35" i="2"/>
  <c r="J35" i="2"/>
  <c r="K35" i="2"/>
  <c r="K23" i="2"/>
  <c r="J23" i="2"/>
  <c r="I23" i="2"/>
  <c r="H23" i="2"/>
  <c r="G23" i="2"/>
  <c r="F23" i="2"/>
  <c r="E23" i="2"/>
  <c r="D23" i="2"/>
  <c r="C23" i="2"/>
  <c r="C23" i="3"/>
  <c r="P33" i="2" l="1"/>
  <c r="P32" i="2"/>
  <c r="R40" i="2"/>
  <c r="P31" i="2"/>
  <c r="P29" i="2"/>
  <c r="P30" i="2"/>
  <c r="P28" i="2"/>
  <c r="P35" i="2"/>
  <c r="P27" i="2"/>
  <c r="R39" i="2" s="1"/>
  <c r="K43" i="2"/>
  <c r="C43" i="2"/>
  <c r="D44" i="2"/>
  <c r="E45" i="2"/>
  <c r="C44" i="2"/>
  <c r="F43" i="2"/>
  <c r="I43" i="2"/>
  <c r="J44" i="2"/>
  <c r="D45" i="2"/>
  <c r="D47" i="2" s="1"/>
  <c r="E43" i="2"/>
  <c r="F44" i="2"/>
  <c r="K31" i="3"/>
  <c r="J31" i="3"/>
  <c r="I31" i="3"/>
  <c r="E31" i="3"/>
  <c r="D31" i="3"/>
  <c r="C31" i="3"/>
  <c r="J30" i="3"/>
  <c r="I30" i="3"/>
  <c r="G30" i="3"/>
  <c r="I29" i="3"/>
  <c r="G29" i="3"/>
  <c r="F29" i="3"/>
  <c r="K28" i="3"/>
  <c r="J28" i="3"/>
  <c r="H30" i="3" s="1"/>
  <c r="I28" i="3"/>
  <c r="H28" i="3"/>
  <c r="G28" i="3"/>
  <c r="F28" i="3"/>
  <c r="E28" i="3"/>
  <c r="D28" i="3"/>
  <c r="C28" i="3"/>
  <c r="K27" i="3"/>
  <c r="G31" i="3" s="1"/>
  <c r="G27" i="3"/>
  <c r="F27" i="3"/>
  <c r="E27" i="3"/>
  <c r="D27" i="3"/>
  <c r="C27" i="3"/>
  <c r="K26" i="3"/>
  <c r="K37" i="3" s="1"/>
  <c r="J26" i="3"/>
  <c r="F30" i="3" s="1"/>
  <c r="I26" i="3"/>
  <c r="F26" i="3"/>
  <c r="J25" i="3"/>
  <c r="E30" i="3" s="1"/>
  <c r="I25" i="3"/>
  <c r="E29" i="3" s="1"/>
  <c r="F25" i="3"/>
  <c r="E26" i="3" s="1"/>
  <c r="E25" i="3"/>
  <c r="D25" i="3"/>
  <c r="C25" i="3"/>
  <c r="J24" i="3"/>
  <c r="I24" i="3"/>
  <c r="F24" i="3"/>
  <c r="D26" i="3" s="1"/>
  <c r="D24" i="3"/>
  <c r="C24" i="3"/>
  <c r="J23" i="3"/>
  <c r="C30" i="3" s="1"/>
  <c r="I23" i="3"/>
  <c r="F23" i="3"/>
  <c r="C26" i="3" s="1"/>
  <c r="K13" i="3" a="1"/>
  <c r="K13" i="3" s="1"/>
  <c r="J13" i="3" a="1"/>
  <c r="J13" i="3" s="1"/>
  <c r="I13" i="3" a="1"/>
  <c r="I13" i="3" s="1"/>
  <c r="H13" i="3" a="1"/>
  <c r="H13" i="3" s="1"/>
  <c r="G13" i="3" a="1"/>
  <c r="G13" i="3" s="1"/>
  <c r="F13" i="3" a="1"/>
  <c r="F13" i="3" s="1"/>
  <c r="E13" i="3" a="1"/>
  <c r="E13" i="3" s="1"/>
  <c r="D13" i="3" a="1"/>
  <c r="D13" i="3" s="1"/>
  <c r="C13" i="3" a="1"/>
  <c r="C13" i="3" s="1"/>
  <c r="K12" i="3" a="1"/>
  <c r="K12" i="3" s="1"/>
  <c r="J12" i="3" a="1"/>
  <c r="J12" i="3" s="1"/>
  <c r="I12" i="3" a="1"/>
  <c r="I12" i="3" s="1"/>
  <c r="H12" i="3" a="1"/>
  <c r="H12" i="3" s="1"/>
  <c r="G12" i="3"/>
  <c r="G12" i="3" a="1"/>
  <c r="F12" i="3" a="1"/>
  <c r="F12" i="3" s="1"/>
  <c r="E12" i="3" a="1"/>
  <c r="E12" i="3" s="1"/>
  <c r="D12" i="3" a="1"/>
  <c r="D12" i="3" s="1"/>
  <c r="C12" i="3" a="1"/>
  <c r="C12" i="3" s="1"/>
  <c r="K11" i="3" a="1"/>
  <c r="K11" i="3" s="1"/>
  <c r="J11" i="3" a="1"/>
  <c r="J11" i="3" s="1"/>
  <c r="I11" i="3" a="1"/>
  <c r="I11" i="3" s="1"/>
  <c r="H11" i="3" a="1"/>
  <c r="H11" i="3" s="1"/>
  <c r="G11" i="3" a="1"/>
  <c r="G11" i="3" s="1"/>
  <c r="F11" i="3" a="1"/>
  <c r="F11" i="3" s="1"/>
  <c r="E11" i="3" a="1"/>
  <c r="E11" i="3" s="1"/>
  <c r="D11" i="3" a="1"/>
  <c r="D11" i="3" s="1"/>
  <c r="C11" i="3" a="1"/>
  <c r="C11" i="3" s="1"/>
  <c r="F47" i="2" l="1"/>
  <c r="T40" i="2"/>
  <c r="C47" i="2"/>
  <c r="T39" i="2"/>
  <c r="E47" i="2"/>
  <c r="I47" i="2"/>
  <c r="K47" i="2"/>
  <c r="J47" i="2"/>
  <c r="R41" i="2"/>
  <c r="T41" i="2" s="1"/>
  <c r="H47" i="2"/>
  <c r="G47" i="2"/>
  <c r="I42" i="3"/>
  <c r="K40" i="3"/>
  <c r="J43" i="3"/>
  <c r="K43" i="3"/>
  <c r="I36" i="3"/>
  <c r="E39" i="3"/>
  <c r="I41" i="3"/>
  <c r="I43" i="3"/>
  <c r="I37" i="3"/>
  <c r="J36" i="3"/>
  <c r="I40" i="3"/>
  <c r="I39" i="3"/>
  <c r="I38" i="3"/>
  <c r="G43" i="3"/>
  <c r="J40" i="3"/>
  <c r="K36" i="3"/>
  <c r="J41" i="3"/>
  <c r="J42" i="3"/>
  <c r="J39" i="3"/>
  <c r="G41" i="3"/>
  <c r="K16" i="3"/>
  <c r="K17" i="3"/>
  <c r="K15" i="3"/>
  <c r="D17" i="3"/>
  <c r="D15" i="3"/>
  <c r="D16" i="3"/>
  <c r="G40" i="3"/>
  <c r="E43" i="3"/>
  <c r="E42" i="3"/>
  <c r="E38" i="3"/>
  <c r="E35" i="3"/>
  <c r="G42" i="3"/>
  <c r="F15" i="3"/>
  <c r="F16" i="3"/>
  <c r="F17" i="3"/>
  <c r="E40" i="3"/>
  <c r="G16" i="3"/>
  <c r="H16" i="3"/>
  <c r="H17" i="3"/>
  <c r="H15" i="3"/>
  <c r="I16" i="3"/>
  <c r="I17" i="3"/>
  <c r="I15" i="3"/>
  <c r="E41" i="3"/>
  <c r="G39" i="3"/>
  <c r="C17" i="3"/>
  <c r="C15" i="3"/>
  <c r="C16" i="3"/>
  <c r="E15" i="3"/>
  <c r="E17" i="3"/>
  <c r="E16" i="3"/>
  <c r="J16" i="3"/>
  <c r="J17" i="3"/>
  <c r="J15" i="3"/>
  <c r="G35" i="3"/>
  <c r="K39" i="3"/>
  <c r="G15" i="3"/>
  <c r="G17" i="3"/>
  <c r="G38" i="3"/>
  <c r="K42" i="3"/>
  <c r="I35" i="3"/>
  <c r="J35" i="3"/>
  <c r="C29" i="3"/>
  <c r="C41" i="3" s="1"/>
  <c r="K35" i="3"/>
  <c r="E37" i="3"/>
  <c r="J38" i="3"/>
  <c r="D29" i="3"/>
  <c r="K38" i="3"/>
  <c r="F31" i="3"/>
  <c r="F43" i="3" s="1"/>
  <c r="G37" i="3"/>
  <c r="K41" i="3"/>
  <c r="H31" i="3"/>
  <c r="H29" i="3"/>
  <c r="H41" i="3" s="1"/>
  <c r="E36" i="3"/>
  <c r="J37" i="3"/>
  <c r="G36" i="3"/>
  <c r="D30" i="3"/>
  <c r="AA42" i="1"/>
  <c r="AA43" i="1"/>
  <c r="AA44" i="1"/>
  <c r="AA45" i="1"/>
  <c r="AA46" i="1"/>
  <c r="AA47" i="1"/>
  <c r="AA48" i="1"/>
  <c r="AA49" i="1"/>
  <c r="AA41" i="1"/>
  <c r="Z41" i="1"/>
  <c r="N41" i="2" l="1"/>
  <c r="N39" i="2"/>
  <c r="N40" i="2"/>
  <c r="P40" i="2" s="1"/>
  <c r="C39" i="3"/>
  <c r="C36" i="3"/>
  <c r="F19" i="3"/>
  <c r="F37" i="3"/>
  <c r="D41" i="3"/>
  <c r="F38" i="3"/>
  <c r="F40" i="3"/>
  <c r="F39" i="3"/>
  <c r="H36" i="3"/>
  <c r="F41" i="3"/>
  <c r="D19" i="3"/>
  <c r="I19" i="3"/>
  <c r="D37" i="3"/>
  <c r="D43" i="3"/>
  <c r="D42" i="3"/>
  <c r="C35" i="3"/>
  <c r="H19" i="3"/>
  <c r="C38" i="3"/>
  <c r="D40" i="3"/>
  <c r="E19" i="3"/>
  <c r="H38" i="3"/>
  <c r="C42" i="3"/>
  <c r="K19" i="3"/>
  <c r="D36" i="3"/>
  <c r="D38" i="3"/>
  <c r="H39" i="3"/>
  <c r="J19" i="3"/>
  <c r="H43" i="3"/>
  <c r="H35" i="3"/>
  <c r="C43" i="3"/>
  <c r="H40" i="3"/>
  <c r="G19" i="3"/>
  <c r="C37" i="3"/>
  <c r="C40" i="3"/>
  <c r="D35" i="3"/>
  <c r="F36" i="3"/>
  <c r="D39" i="3"/>
  <c r="C19" i="3"/>
  <c r="F35" i="3"/>
  <c r="H42" i="3"/>
  <c r="H37" i="3"/>
  <c r="F42" i="3"/>
  <c r="X28" i="1"/>
  <c r="W27" i="1"/>
  <c r="X27" i="1"/>
  <c r="V24" i="1"/>
  <c r="W24" i="1"/>
  <c r="V25" i="1"/>
  <c r="W25" i="1"/>
  <c r="V26" i="1"/>
  <c r="W26" i="1"/>
  <c r="V27" i="1"/>
  <c r="X29" i="1"/>
  <c r="W29" i="1"/>
  <c r="V29" i="1"/>
  <c r="S24" i="1"/>
  <c r="S25" i="1"/>
  <c r="S26" i="1"/>
  <c r="P15" i="1"/>
  <c r="Q15" i="1"/>
  <c r="R15" i="1"/>
  <c r="S15" i="1"/>
  <c r="T15" i="1"/>
  <c r="U15" i="1"/>
  <c r="V15" i="1"/>
  <c r="W15" i="1"/>
  <c r="M43" i="3" l="1"/>
  <c r="P39" i="2"/>
  <c r="P41" i="2"/>
  <c r="M41" i="3"/>
  <c r="M37" i="3"/>
  <c r="M36" i="3"/>
  <c r="M39" i="3"/>
  <c r="M40" i="3"/>
  <c r="N12" i="3"/>
  <c r="N13" i="3"/>
  <c r="P13" i="3" s="1"/>
  <c r="N11" i="3"/>
  <c r="M42" i="3"/>
  <c r="M38" i="3"/>
  <c r="M35" i="3"/>
  <c r="Q13" i="1"/>
  <c r="R13" i="1"/>
  <c r="S13" i="1"/>
  <c r="T13" i="1"/>
  <c r="U13" i="1"/>
  <c r="V13" i="1"/>
  <c r="W13" i="1"/>
  <c r="Q14" i="1"/>
  <c r="R14" i="1"/>
  <c r="S14" i="1"/>
  <c r="T14" i="1"/>
  <c r="U14" i="1"/>
  <c r="V14" i="1"/>
  <c r="W14" i="1"/>
  <c r="P14" i="1"/>
  <c r="P13" i="1"/>
  <c r="X32" i="1"/>
  <c r="W31" i="1"/>
  <c r="W32" i="1"/>
  <c r="V30" i="1"/>
  <c r="V31" i="1"/>
  <c r="V32" i="1"/>
  <c r="U29" i="1"/>
  <c r="U30" i="1"/>
  <c r="U47" i="1" s="1"/>
  <c r="U31" i="1"/>
  <c r="U32" i="1"/>
  <c r="T28" i="1"/>
  <c r="T29" i="1"/>
  <c r="T30" i="1"/>
  <c r="T31" i="1"/>
  <c r="T32" i="1"/>
  <c r="T49" i="1" s="1"/>
  <c r="S27" i="1"/>
  <c r="S28" i="1"/>
  <c r="S29" i="1"/>
  <c r="S30" i="1"/>
  <c r="S31" i="1"/>
  <c r="S32" i="1"/>
  <c r="R26" i="1"/>
  <c r="R27" i="1"/>
  <c r="R28" i="1"/>
  <c r="R45" i="1" s="1"/>
  <c r="R29" i="1"/>
  <c r="R30" i="1"/>
  <c r="R31" i="1"/>
  <c r="R32" i="1"/>
  <c r="Q25" i="1"/>
  <c r="Q26" i="1"/>
  <c r="Q27" i="1"/>
  <c r="Q28" i="1"/>
  <c r="Q29" i="1"/>
  <c r="Q30" i="1"/>
  <c r="Q47" i="1" s="1"/>
  <c r="Q31" i="1"/>
  <c r="Q32" i="1"/>
  <c r="P26" i="1"/>
  <c r="P27" i="1"/>
  <c r="P28" i="1"/>
  <c r="P29" i="1"/>
  <c r="P30" i="1"/>
  <c r="P31" i="1"/>
  <c r="P32" i="1"/>
  <c r="P25" i="1"/>
  <c r="P24" i="1"/>
  <c r="P9" i="1" a="1"/>
  <c r="P9" i="1" s="1"/>
  <c r="Q9" i="1" a="1"/>
  <c r="Q9" i="1" s="1"/>
  <c r="R9" i="1" a="1"/>
  <c r="R9" i="1" s="1"/>
  <c r="S9" i="1" a="1"/>
  <c r="S9" i="1" s="1"/>
  <c r="T9" i="1" a="1"/>
  <c r="T9" i="1" s="1"/>
  <c r="U9" i="1" a="1"/>
  <c r="U9" i="1" s="1"/>
  <c r="P10" i="1" a="1"/>
  <c r="P10" i="1" s="1"/>
  <c r="Q10" i="1" a="1"/>
  <c r="Q10" i="1" s="1"/>
  <c r="R10" i="1" a="1"/>
  <c r="R10" i="1" s="1"/>
  <c r="S10" i="1" a="1"/>
  <c r="S10" i="1" s="1"/>
  <c r="T10" i="1" a="1"/>
  <c r="T10" i="1" s="1"/>
  <c r="U10" i="1" a="1"/>
  <c r="U10" i="1" s="1"/>
  <c r="P11" i="1" a="1"/>
  <c r="P11" i="1" s="1"/>
  <c r="Q11" i="1" a="1"/>
  <c r="Q11" i="1" s="1"/>
  <c r="R11" i="1" a="1"/>
  <c r="R11" i="1" s="1"/>
  <c r="S11" i="1" a="1"/>
  <c r="S11" i="1" s="1"/>
  <c r="T11" i="1" a="1"/>
  <c r="T11" i="1" s="1"/>
  <c r="U11" i="1" a="1"/>
  <c r="U11" i="1" s="1"/>
  <c r="W9" i="1" a="1"/>
  <c r="W9" i="1" s="1"/>
  <c r="X9" i="1" a="1"/>
  <c r="X9" i="1" s="1"/>
  <c r="AF9" i="1" s="1" a="1"/>
  <c r="AF9" i="1" s="1"/>
  <c r="AG9" i="1" s="1"/>
  <c r="W10" i="1" a="1"/>
  <c r="W10" i="1" s="1"/>
  <c r="X10" i="1" a="1"/>
  <c r="X10" i="1" s="1"/>
  <c r="AF10" i="1" s="1" a="1"/>
  <c r="AF10" i="1" s="1"/>
  <c r="AG10" i="1" s="1"/>
  <c r="W11" i="1" a="1"/>
  <c r="W11" i="1" s="1"/>
  <c r="X11" i="1" a="1"/>
  <c r="X11" i="1" s="1"/>
  <c r="AF11" i="1" s="1" a="1"/>
  <c r="AF11" i="1" s="1"/>
  <c r="V10" i="1" a="1"/>
  <c r="V10" i="1" s="1"/>
  <c r="V11" i="1" a="1"/>
  <c r="V11" i="1" s="1"/>
  <c r="V9" i="1" a="1"/>
  <c r="V9" i="1" s="1"/>
  <c r="N40" i="3" l="1"/>
  <c r="N43" i="3"/>
  <c r="N41" i="3"/>
  <c r="N35" i="3"/>
  <c r="N38" i="3"/>
  <c r="N42" i="3"/>
  <c r="N37" i="3"/>
  <c r="R12" i="3" s="1" a="1"/>
  <c r="R12" i="3" s="1"/>
  <c r="P11" i="3"/>
  <c r="P12" i="3"/>
  <c r="N39" i="3"/>
  <c r="N36" i="3"/>
  <c r="X13" i="1"/>
  <c r="X14" i="1"/>
  <c r="X15" i="1" s="1"/>
  <c r="AG11" i="1"/>
  <c r="R47" i="1"/>
  <c r="S46" i="1"/>
  <c r="U49" i="1"/>
  <c r="W45" i="1"/>
  <c r="W48" i="1"/>
  <c r="W42" i="1"/>
  <c r="W43" i="1"/>
  <c r="W47" i="1"/>
  <c r="W44" i="1"/>
  <c r="W41" i="1"/>
  <c r="W46" i="1"/>
  <c r="P47" i="1"/>
  <c r="Q46" i="1"/>
  <c r="R46" i="1"/>
  <c r="S45" i="1"/>
  <c r="U48" i="1"/>
  <c r="X49" i="1"/>
  <c r="X44" i="1"/>
  <c r="X48" i="1"/>
  <c r="X46" i="1"/>
  <c r="X42" i="1"/>
  <c r="X47" i="1"/>
  <c r="X41" i="1"/>
  <c r="X45" i="1"/>
  <c r="X43" i="1"/>
  <c r="R44" i="1"/>
  <c r="U41" i="1"/>
  <c r="U44" i="1"/>
  <c r="U42" i="1"/>
  <c r="U43" i="1"/>
  <c r="U45" i="1"/>
  <c r="U46" i="1"/>
  <c r="P44" i="1"/>
  <c r="Q43" i="1"/>
  <c r="R43" i="1"/>
  <c r="R42" i="1"/>
  <c r="R41" i="1"/>
  <c r="T48" i="1"/>
  <c r="V49" i="1"/>
  <c r="P48" i="1"/>
  <c r="Q45" i="1"/>
  <c r="S42" i="1"/>
  <c r="S43" i="1"/>
  <c r="S44" i="1"/>
  <c r="S41" i="1"/>
  <c r="Q44" i="1"/>
  <c r="P41" i="1"/>
  <c r="P43" i="1"/>
  <c r="Q41" i="1"/>
  <c r="Q42" i="1"/>
  <c r="S49" i="1"/>
  <c r="T47" i="1"/>
  <c r="V48" i="1"/>
  <c r="P46" i="1"/>
  <c r="P42" i="1"/>
  <c r="R49" i="1"/>
  <c r="S48" i="1"/>
  <c r="T46" i="1"/>
  <c r="V47" i="1"/>
  <c r="V46" i="1"/>
  <c r="V42" i="1"/>
  <c r="V43" i="1"/>
  <c r="V45" i="1"/>
  <c r="V44" i="1"/>
  <c r="V41" i="1"/>
  <c r="P45" i="1"/>
  <c r="Q49" i="1"/>
  <c r="P49" i="1"/>
  <c r="Q48" i="1"/>
  <c r="R48" i="1"/>
  <c r="S47" i="1"/>
  <c r="T41" i="1"/>
  <c r="T42" i="1"/>
  <c r="T44" i="1"/>
  <c r="T43" i="1"/>
  <c r="T45" i="1"/>
  <c r="W49" i="1"/>
  <c r="R11" i="3" l="1" a="1"/>
  <c r="R11" i="3" s="1"/>
  <c r="R13" i="3" a="1"/>
  <c r="R13" i="3" s="1"/>
  <c r="T13" i="3" s="1"/>
  <c r="R17" i="1"/>
  <c r="S17" i="1"/>
  <c r="V17" i="1"/>
  <c r="W17" i="1"/>
  <c r="P17" i="1"/>
  <c r="X17" i="1"/>
  <c r="Q17" i="1"/>
  <c r="T17" i="1"/>
  <c r="U17" i="1"/>
  <c r="Z49" i="1"/>
  <c r="Z43" i="1"/>
  <c r="Z46" i="1"/>
  <c r="Z48" i="1"/>
  <c r="Z44" i="1"/>
  <c r="Z42" i="1"/>
  <c r="Z47" i="1"/>
  <c r="Z45" i="1"/>
  <c r="T11" i="3" l="1"/>
  <c r="T12" i="3"/>
  <c r="AC10" i="1"/>
  <c r="AC9" i="1"/>
  <c r="AD9" i="1" s="1"/>
  <c r="AC11" i="1"/>
  <c r="AD11" i="1" s="1"/>
  <c r="AD10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<sst xmlns="http://schemas.openxmlformats.org/spreadsheetml/2006/main" count="446" uniqueCount="188">
  <si>
    <t>Characteristics</t>
  </si>
  <si>
    <t>Barroso</t>
  </si>
  <si>
    <t>Configuration 1</t>
  </si>
  <si>
    <t>CV -2600</t>
  </si>
  <si>
    <t>Configuration 2</t>
  </si>
  <si>
    <t>CV-3000</t>
  </si>
  <si>
    <t>Configuration 3</t>
  </si>
  <si>
    <t>L over-all(m)</t>
  </si>
  <si>
    <t>103.4</t>
  </si>
  <si>
    <t>115.00</t>
  </si>
  <si>
    <t>118.00</t>
  </si>
  <si>
    <t>L water-line(m)</t>
  </si>
  <si>
    <t>96.30</t>
  </si>
  <si>
    <t>105.00</t>
  </si>
  <si>
    <t>108.00</t>
  </si>
  <si>
    <t>B water-line(m)</t>
  </si>
  <si>
    <t>11.40</t>
  </si>
  <si>
    <t>13.00</t>
  </si>
  <si>
    <t>13.50</t>
  </si>
  <si>
    <t>B max(m)</t>
  </si>
  <si>
    <t>Flare 7.5° :12.70</t>
  </si>
  <si>
    <t>15.00</t>
  </si>
  <si>
    <t>15.50</t>
  </si>
  <si>
    <t>T(m)</t>
  </si>
  <si>
    <t>4.00</t>
  </si>
  <si>
    <t>4.30</t>
  </si>
  <si>
    <t>D(m)</t>
  </si>
  <si>
    <t>6.75</t>
  </si>
  <si>
    <t>8.70</t>
  </si>
  <si>
    <t>9.00</t>
  </si>
  <si>
    <t>L/B(wl)</t>
  </si>
  <si>
    <t>8.45</t>
  </si>
  <si>
    <t>8.08</t>
  </si>
  <si>
    <t>8.00</t>
  </si>
  <si>
    <t>Lwl/D</t>
  </si>
  <si>
    <t>14.27</t>
  </si>
  <si>
    <t>12.07</t>
  </si>
  <si>
    <t>12.00</t>
  </si>
  <si>
    <t>T/D</t>
  </si>
  <si>
    <t>0.59</t>
  </si>
  <si>
    <t>0.49</t>
  </si>
  <si>
    <t>0.48</t>
  </si>
  <si>
    <t>Cb</t>
  </si>
  <si>
    <t>0.53</t>
  </si>
  <si>
    <t>Cp Long.</t>
  </si>
  <si>
    <t>0.67</t>
  </si>
  <si>
    <t>0.622</t>
  </si>
  <si>
    <t>Lightweight</t>
  </si>
  <si>
    <t>Lightweight + Res.Proj(ton)</t>
  </si>
  <si>
    <t>DWT(tons)</t>
  </si>
  <si>
    <t>Maximum Displacement(tons)</t>
  </si>
  <si>
    <t>Max. Displacement + SLA(tons)</t>
  </si>
  <si>
    <t>B/D</t>
  </si>
  <si>
    <t>1.69</t>
  </si>
  <si>
    <t>S water plane(m2)</t>
  </si>
  <si>
    <t>Master section(m2)</t>
  </si>
  <si>
    <t>36.12</t>
  </si>
  <si>
    <t>40.14</t>
  </si>
  <si>
    <t>44.82</t>
  </si>
  <si>
    <t>GM(m)</t>
  </si>
  <si>
    <t>1.70</t>
  </si>
  <si>
    <t>1.68</t>
  </si>
  <si>
    <t>T roll(sec)</t>
  </si>
  <si>
    <t>6.97</t>
  </si>
  <si>
    <t>7.99</t>
  </si>
  <si>
    <t>8.3</t>
  </si>
  <si>
    <t>T pich(sec)</t>
  </si>
  <si>
    <t>5.19</t>
  </si>
  <si>
    <t>5.40</t>
  </si>
  <si>
    <t>5.48</t>
  </si>
  <si>
    <t>S wet area(m2)</t>
  </si>
  <si>
    <t>Propulsion(mode)</t>
  </si>
  <si>
    <t>Codog/Codad</t>
  </si>
  <si>
    <t>Codad/Codoe</t>
  </si>
  <si>
    <t>PB max(MW)</t>
  </si>
  <si>
    <t>Speed 15Kts: 1.994</t>
  </si>
  <si>
    <t>22.03</t>
  </si>
  <si>
    <t>23.79</t>
  </si>
  <si>
    <t>Action radius(n.m.)/15</t>
  </si>
  <si>
    <t>Action radius(n.m.)/18</t>
  </si>
  <si>
    <t>xxx</t>
  </si>
  <si>
    <t>Fuel endurance(days)/15</t>
  </si>
  <si>
    <t>Fuel endurance(days)/18</t>
  </si>
  <si>
    <t>Autonomy(days)</t>
  </si>
  <si>
    <t>Crew(people)</t>
  </si>
  <si>
    <t>100+20</t>
  </si>
  <si>
    <t>Maximum speed(knot)</t>
  </si>
  <si>
    <t>SLRVnax</t>
  </si>
  <si>
    <t>Froude Number</t>
  </si>
  <si>
    <t>0.452</t>
  </si>
  <si>
    <t>0.449</t>
  </si>
  <si>
    <t>0.442</t>
  </si>
  <si>
    <t>Propeller(day/rmp/28kts)</t>
  </si>
  <si>
    <t>3.50 m/5 blades/285 RPM</t>
  </si>
  <si>
    <t>3.50 m/ 5 blades/ 292 RPM</t>
  </si>
  <si>
    <t>Electrical generation(KW)</t>
  </si>
  <si>
    <t>3.240KW + 408 KW</t>
  </si>
  <si>
    <t>3.240 KW + 408 KW</t>
  </si>
  <si>
    <t>Primary cannon</t>
  </si>
  <si>
    <t>BA e 114 mm MK</t>
  </si>
  <si>
    <t>Oto Melara76mmSp</t>
  </si>
  <si>
    <t>Secondary cannon</t>
  </si>
  <si>
    <t>Bofors40mm MK-3</t>
  </si>
  <si>
    <t>2x Bofors40mm MK-4</t>
  </si>
  <si>
    <t>Machine guns</t>
  </si>
  <si>
    <t>ASuW Missiles</t>
  </si>
  <si>
    <t>8x Exocet SSM40 BI 3</t>
  </si>
  <si>
    <t>AAW Missiles</t>
  </si>
  <si>
    <t>ASW Torpedoes</t>
  </si>
  <si>
    <t>2x III Raytheon MK-46</t>
  </si>
  <si>
    <t>Helicopter</t>
  </si>
  <si>
    <t>1x lynx / AW 159</t>
  </si>
  <si>
    <t>Initial cost Obtain</t>
  </si>
  <si>
    <t>US$ 290 million</t>
  </si>
  <si>
    <t>US$ 310 million</t>
  </si>
  <si>
    <t>Life cycle 35 years</t>
  </si>
  <si>
    <t>US$ 592 million</t>
  </si>
  <si>
    <t>US$ 633 million</t>
  </si>
  <si>
    <t>First Class Commissioning Time</t>
  </si>
  <si>
    <t>6 years</t>
  </si>
  <si>
    <t>8 years</t>
  </si>
  <si>
    <t>Model 1</t>
  </si>
  <si>
    <t>Model 2</t>
  </si>
  <si>
    <t>Model 3</t>
  </si>
  <si>
    <t>Action Radius (C1)</t>
  </si>
  <si>
    <t>Fuel Endurance (C2)</t>
  </si>
  <si>
    <t>Autonomy (C3)</t>
  </si>
  <si>
    <t>Primary Cannon (C4)</t>
  </si>
  <si>
    <t>Secondary Cannon (C5)</t>
  </si>
  <si>
    <t>AAW Missiles (C6)</t>
  </si>
  <si>
    <t>Initial Cost (C7)</t>
  </si>
  <si>
    <t>R$ 290,000,000</t>
  </si>
  <si>
    <t>R$ 310,000,000</t>
  </si>
  <si>
    <t>Life Cycle Cost (C8)</t>
  </si>
  <si>
    <t>R$ 592,000,000</t>
  </si>
  <si>
    <t>R$ 633,000,000</t>
  </si>
  <si>
    <t>Construction Time (C9)</t>
  </si>
  <si>
    <t>SUM</t>
  </si>
  <si>
    <t>0.1667</t>
  </si>
  <si>
    <t>0.3889</t>
  </si>
  <si>
    <t>0.4443</t>
  </si>
  <si>
    <t>0.1641</t>
  </si>
  <si>
    <t>0.388</t>
  </si>
  <si>
    <t>0.4477</t>
  </si>
  <si>
    <t>0.3333</t>
  </si>
  <si>
    <t>0.2777</t>
  </si>
  <si>
    <t>0.3888</t>
  </si>
  <si>
    <t>0.147</t>
  </si>
  <si>
    <t>0.7058</t>
  </si>
  <si>
    <t>0.2</t>
  </si>
  <si>
    <t>0.4</t>
  </si>
  <si>
    <t>0.5</t>
  </si>
  <si>
    <t>0.3483</t>
  </si>
  <si>
    <t>0.3258</t>
  </si>
  <si>
    <t>0.3</t>
  </si>
  <si>
    <t>MIN</t>
  </si>
  <si>
    <t>MAX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</si>
  <si>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</si>
  <si>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</si>
  <si>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</si>
  <si>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</si>
  <si>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</si>
  <si>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</si>
  <si>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</si>
  <si>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</si>
  <si>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</si>
  <si>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Matriz Normalizada</t>
  </si>
  <si>
    <t>Média</t>
  </si>
  <si>
    <t>Desvio Padrão</t>
  </si>
  <si>
    <t>Fator Gaussiano</t>
  </si>
  <si>
    <t>Fator Gaussiano Normalizado</t>
  </si>
  <si>
    <t>A1</t>
  </si>
  <si>
    <t>A2</t>
  </si>
  <si>
    <t>A3</t>
  </si>
  <si>
    <t>AHP</t>
  </si>
  <si>
    <t>RANK</t>
  </si>
  <si>
    <t>AHP-G</t>
  </si>
  <si>
    <t>Matriz Normalizada dos Critérios</t>
  </si>
  <si>
    <t>Soma</t>
  </si>
  <si>
    <t>Normalização</t>
  </si>
  <si>
    <t>Tipo</t>
  </si>
  <si>
    <t>AHP - GAUSSSIANO</t>
  </si>
  <si>
    <t>Matriz de Avaliação entre Critérios - AHP</t>
  </si>
  <si>
    <t>Número de Alternativas</t>
  </si>
  <si>
    <t>Número de Critérios</t>
  </si>
  <si>
    <t>Fator G. Norma.</t>
  </si>
  <si>
    <t>*A responsabilidade pela idoneidade, originalidade e licitude dos conteúdos didáticos apresentados é do professor.</t>
  </si>
  <si>
    <t>Proibida a reprodução, total ou parcial, sem autorização. Lei 9610/98.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</si>
</sst>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&quot;R$&quot;#,##0;[Red]\-&quot;R$&quot;#,##0"/>
    <numFmt numFmtId="165" formatCode="_-&quot;R$&quot;* #,##0.00_-;\-&quot;R$&quot;* #,##0.00_-;_-&quot;R$&quot;* &quot;-&quot;??_-;_-@_-"/>
    <numFmt numFmtId="166" formatCode="0.00000"/>
    <numFmt numFmtId="167" formatCode="0.000"/>
    <numFmt numFmtId="168" formatCode="[&gt;=1]0;?/?"/>
    <numFmt numFmtId="169" formatCode="_-&quot;M&quot;&quot;R$&quot;* #,##0,,_-;\-&quot;R$&quot;* #,##0_-;_-&quot;R$&quot;* &quot;-&quot;??_-;_-@_-"/>
  </numFmts>
  <fonts count="13" x14ac:knownFonts="1"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b/>
      <sz val="11"/>
      <color theme="1" tint="0.249977111117893"/>
      <name val="Calibri"/>
      <family val="2"/>
      <scheme val="minor"/>
    </font>
    <font>
      <sz val="11"/>
      <color theme="1" tint="0.249977111117893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DEEBF7"/>
        <bgColor indexed="64"/>
      </patternFill>
    </fill>
    <fill>
      <patternFill patternType="solid">
        <fgColor rgb="FFF3F2F2"/>
        <bgColor indexed="64"/>
      </patternFill>
    </fill>
  </fills>
  <borders count="8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</borders>
  <cellStyleXfs count="3">
    <xf numFmtId="0" fontId="0" fillId="0" borderId="0"/>
    <xf numFmtId="165" fontId="6" fillId="0" borderId="0" applyFont="0" applyFill="0" applyBorder="0" applyAlignment="0" applyProtection="0"/>
    <xf numFmtId="0" fontId="6" fillId="0" borderId="0"/>
  </cellStyleXfs>
  <cellXfs count="58">
    <xf numFmtId="0" fontId="0" fillId="0" borderId="0" xfId="0"/>
    <xf numFmtId="0" fontId="4" fillId="0" borderId="0" xfId="0" applyFont="1"/>
    <xf numFmtId="0" fontId="5" fillId="0" borderId="2" xfId="0" applyFont="1" applyBorder="1" applyAlignment="1">
      <alignment horizontal="left" vertical="center" wrapText="1"/>
    </xf>
    <xf numFmtId="0" fontId="5" fillId="0" borderId="3" xfId="0" applyFont="1" applyBorder="1" applyAlignment="1">
      <alignment horizontal="left" vertical="center" wrapText="1"/>
    </xf>
    <xf numFmtId="0" fontId="5" fillId="0" borderId="1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3" xfId="0" applyFont="1" applyBorder="1" applyAlignment="1">
      <alignment horizontal="left" vertical="center"/>
    </xf>
    <xf numFmtId="3" fontId="5" fillId="0" borderId="0" xfId="0" applyNumberFormat="1" applyFont="1" applyAlignment="1">
      <alignment horizontal="left" vertical="center"/>
    </xf>
    <xf numFmtId="164" fontId="5" fillId="0" borderId="0" xfId="0" applyNumberFormat="1" applyFont="1" applyAlignment="1">
      <alignment horizontal="left" vertical="center"/>
    </xf>
    <xf numFmtId="167" fontId="4" fillId="0" borderId="0" xfId="0" applyNumberFormat="1" applyFont="1"/>
    <xf numFmtId="0" fontId="4" fillId="2" borderId="0" xfId="0" applyFont="1" applyFill="1"/>
    <xf numFmtId="167" fontId="4" fillId="0" borderId="0" xfId="0" applyNumberFormat="1" applyFont="1" applyAlignment="1">
      <alignment horizontal="center"/>
    </xf>
    <xf numFmtId="0" fontId="5" fillId="0" borderId="0" xfId="0" applyFont="1" applyFill="1" applyBorder="1" applyAlignment="1">
      <alignment horizontal="left" vertical="center"/>
    </xf>
    <xf numFmtId="167" fontId="5" fillId="0" borderId="0" xfId="0" applyNumberFormat="1" applyFont="1" applyAlignment="1">
      <alignment horizontal="center" vertical="center"/>
    </xf>
    <xf numFmtId="167" fontId="5" fillId="2" borderId="0" xfId="0" applyNumberFormat="1" applyFont="1" applyFill="1" applyAlignment="1">
      <alignment horizontal="center" vertical="center"/>
    </xf>
    <xf numFmtId="167" fontId="4" fillId="2" borderId="0" xfId="0" applyNumberFormat="1" applyFont="1" applyFill="1" applyAlignment="1">
      <alignment horizontal="center"/>
    </xf>
    <xf numFmtId="0" fontId="5" fillId="0" borderId="2" xfId="0" applyFont="1" applyBorder="1" applyAlignment="1">
      <alignment horizontal="left" vertical="center"/>
    </xf>
    <xf numFmtId="0" fontId="5" fillId="0" borderId="0" xfId="0" applyFont="1" applyBorder="1" applyAlignment="1">
      <alignment horizontal="left" vertical="center"/>
    </xf>
    <xf numFmtId="0" fontId="4" fillId="0" borderId="0" xfId="0" applyNumberFormat="1" applyFont="1"/>
    <xf numFmtId="2" fontId="4" fillId="0" borderId="0" xfId="0" applyNumberFormat="1" applyFont="1"/>
    <xf numFmtId="0" fontId="4" fillId="0" borderId="0" xfId="0" applyFont="1" applyAlignment="1">
      <alignment vertical="center"/>
    </xf>
    <xf numFmtId="166" fontId="4" fillId="0" borderId="0" xfId="0" applyNumberFormat="1" applyFont="1"/>
    <xf numFmtId="0" fontId="7" fillId="3" borderId="4" xfId="0" applyFont="1" applyFill="1" applyBorder="1" applyAlignment="1">
      <alignment horizontal="center"/>
    </xf>
    <xf numFmtId="0" fontId="8" fillId="3" borderId="4" xfId="0" applyFont="1" applyFill="1" applyBorder="1" applyAlignment="1">
      <alignment horizontal="center"/>
    </xf>
    <xf numFmtId="0" fontId="7" fillId="3" borderId="4" xfId="0" applyNumberFormat="1" applyFont="1" applyFill="1" applyBorder="1" applyAlignment="1">
      <alignment horizontal="center"/>
    </xf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/>
    </xf>
    <xf numFmtId="0" fontId="8" fillId="3" borderId="4" xfId="0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/>
    </xf>
    <xf numFmtId="3" fontId="4" fillId="0" borderId="4" xfId="0" applyNumberFormat="1" applyFont="1" applyBorder="1" applyAlignment="1">
      <alignment horizontal="center"/>
    </xf>
    <xf numFmtId="169" fontId="4" fillId="0" borderId="4" xfId="1" applyNumberFormat="1" applyFont="1" applyBorder="1" applyAlignment="1">
      <alignment horizontal="center"/>
    </xf>
    <xf numFmtId="167" fontId="4" fillId="0" borderId="4" xfId="0" applyNumberFormat="1" applyFont="1" applyFill="1" applyBorder="1" applyAlignment="1">
      <alignment horizontal="center"/>
    </xf>
    <xf numFmtId="0" fontId="4" fillId="0" borderId="4" xfId="0" applyNumberFormat="1" applyFont="1" applyFill="1" applyBorder="1" applyAlignment="1">
      <alignment horizontal="center"/>
    </xf>
    <xf numFmtId="167" fontId="2" fillId="0" borderId="0" xfId="0" applyNumberFormat="1" applyFont="1" applyAlignment="1">
      <alignment horizontal="center" vertical="center"/>
    </xf>
    <xf numFmtId="167" fontId="4" fillId="0" borderId="4" xfId="0" applyNumberFormat="1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3" borderId="4" xfId="0" applyFont="1" applyFill="1" applyBorder="1" applyAlignment="1">
      <alignment horizontal="center"/>
    </xf>
    <xf numFmtId="168" fontId="4" fillId="0" borderId="4" xfId="0" applyNumberFormat="1" applyFont="1" applyBorder="1" applyAlignment="1">
      <alignment horizontal="center"/>
    </xf>
    <xf numFmtId="3" fontId="11" fillId="0" borderId="4" xfId="0" applyNumberFormat="1" applyFont="1" applyBorder="1" applyAlignment="1">
      <alignment horizontal="center"/>
    </xf>
    <xf numFmtId="3" fontId="11" fillId="0" borderId="5" xfId="0" applyNumberFormat="1" applyFont="1" applyBorder="1" applyAlignment="1"/>
    <xf numFmtId="0" fontId="4" fillId="4" borderId="4" xfId="0" applyFont="1" applyFill="1" applyBorder="1" applyAlignment="1">
      <alignment horizontal="center"/>
    </xf>
    <xf numFmtId="0" fontId="7" fillId="5" borderId="4" xfId="0" applyFont="1" applyFill="1" applyBorder="1" applyAlignment="1">
      <alignment horizontal="center"/>
    </xf>
    <xf numFmtId="0" fontId="11" fillId="0" borderId="7" xfId="0" applyFont="1" applyBorder="1"/>
    <xf numFmtId="0" fontId="9" fillId="0" borderId="0" xfId="0" applyFont="1" applyFill="1" applyBorder="1" applyAlignment="1">
      <alignment horizontal="center" vertical="center"/>
    </xf>
    <xf numFmtId="0" fontId="9" fillId="0" borderId="4" xfId="0" applyFont="1" applyFill="1" applyBorder="1" applyAlignment="1">
      <alignment horizontal="center" vertical="center"/>
    </xf>
    <xf numFmtId="0" fontId="4" fillId="0" borderId="0" xfId="0" applyFont="1" applyBorder="1"/>
    <xf numFmtId="0" fontId="12" fillId="0" borderId="0" xfId="0" applyFont="1" applyAlignment="1">
      <alignment horizontal="center"/>
    </xf>
    <xf numFmtId="0" fontId="1" fillId="4" borderId="6" xfId="0" applyFont="1" applyFill="1" applyBorder="1" applyAlignment="1">
      <alignment horizontal="center" vertical="center"/>
    </xf>
    <xf numFmtId="0" fontId="4" fillId="0" borderId="4" xfId="0" applyFont="1" applyFill="1" applyBorder="1" applyAlignment="1">
      <alignment horizontal="center" vertical="center"/>
    </xf>
    <xf numFmtId="0" fontId="11" fillId="5" borderId="5" xfId="0" applyFont="1" applyFill="1" applyBorder="1" applyAlignment="1">
      <alignment horizontal="center" vertical="center" wrapText="1"/>
    </xf>
    <xf numFmtId="0" fontId="11" fillId="5" borderId="6" xfId="0" applyFont="1" applyFill="1" applyBorder="1" applyAlignment="1">
      <alignment horizontal="center" vertical="center" wrapText="1"/>
    </xf>
    <xf numFmtId="3" fontId="11" fillId="0" borderId="4" xfId="0" applyNumberFormat="1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167" fontId="0" fillId="0" borderId="0" xfId="0" applyNumberFormat="1"/>
    <xf numFmtId="167" fontId="11" fillId="5" borderId="6" xfId="0" applyNumberFormat="1" applyFont="1" applyFill="1" applyBorder="1" applyAlignment="1">
      <alignment horizontal="center" vertical="center" wrapText="1"/>
    </xf>
    <xf numFmtId="0" fontId="5" fillId="0" borderId="2" xfId="0" applyFont="1" applyBorder="1" applyAlignment="1">
      <alignment horizontal="left" vertical="center"/>
    </xf>
    <xf numFmtId="0" fontId="5" fillId="0" borderId="3" xfId="0" applyFont="1" applyBorder="1" applyAlignment="1">
      <alignment horizontal="left" vertical="center"/>
    </xf>
  </cellXfs>
  <cellStyles count="3">
    <cellStyle name="Moeda" xfId="1" builtinId="4"/>
    <cellStyle name="Normal" xfId="0" builtinId="0"/>
    <cellStyle name="Normal 2 2" xfId="2" xr:uid="{EC3E432B-0433-40E0-8C12-57DD3B8FD8E0}"/>
  </cellStyles>
  <dxfs count="2">
    <dxf>
      <fill>
        <patternFill>
          <bgColor theme="9" tint="0.79998168889431442"/>
        </patternFill>
      </fill>
    </dxf>
    <dxf>
      <fill>
        <patternFill>
          <fgColor indexed="64"/>
          <bgColor theme="9" tint="0.79995117038483843"/>
        </patternFill>
      </fill>
    </dxf>
  </dxfs>
  <tableStyles count="0" defaultTableStyle="TableStyleMedium2" defaultPivotStyle="PivotStyleLight16"/>
  <colors>
    <mruColors>
      <color rgb="FFF3F2F2"/>
      <color rgb="FFDEEBF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openxmlformats.org/officeDocument/2006/relationships/customXml" Target="../customXml/item3.xml"/><Relationship Id="rId5" Type="http://schemas.openxmlformats.org/officeDocument/2006/relationships/styles" Target="styles.xml"/><Relationship Id="rId10" Type="http://schemas.openxmlformats.org/officeDocument/2006/relationships/customXml" Target="../customXml/item2.xml"/><Relationship Id="rId4" Type="http://schemas.openxmlformats.org/officeDocument/2006/relationships/theme" Target="theme/theme1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4</xdr:col>
      <xdr:colOff>205740</xdr:colOff>
      <xdr:row>1</xdr:row>
      <xdr:rowOff>171450</xdr:rowOff>
    </xdr:from>
    <xdr:to>
      <xdr:col>5</xdr:col>
      <xdr:colOff>586740</xdr:colOff>
      <xdr:row>3</xdr:row>
      <xdr:rowOff>91440</xdr:rowOff>
    </xdr:to>
    <xdr:sp macro="[0]!Limpeza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C6AF0C0C-D9B5-4C91-A6D8-274020CC45A7}"/>
            </a:ext>
          </a:extLst>
        </xdr:cNvPr>
        <xdr:cNvSpPr/>
      </xdr:nvSpPr>
      <xdr:spPr>
        <a:xfrm>
          <a:off x="2638425" y="409575"/>
          <a:ext cx="971550" cy="390525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Limpar</a:t>
          </a:r>
          <a:r>
            <a:rPr lang="en-US" sz="1100" b="1" baseline="0"/>
            <a:t> Tudo</a:t>
          </a:r>
          <a:endParaRPr lang="en-US" sz="1100" b="1"/>
        </a:p>
      </xdr:txBody>
    </xdr:sp>
    <xdr:clientData fPrintsWithSheet="0"/>
  </xdr:twoCellAnchor>
  <xdr:twoCellAnchor editAs="absolute">
    <xdr:from>
      <xdr:col>6</xdr:col>
      <xdr:colOff>209549</xdr:colOff>
      <xdr:row>0</xdr:row>
      <xdr:rowOff>76201</xdr:rowOff>
    </xdr:from>
    <xdr:to>
      <xdr:col>8</xdr:col>
      <xdr:colOff>175259</xdr:colOff>
      <xdr:row>2</xdr:row>
      <xdr:rowOff>133351</xdr:rowOff>
    </xdr:to>
    <xdr:sp macro="[0]!AHP_Gaussiano_Criacao_Bas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2C34B88-34B2-429F-AEFA-3A2CBED8A44F}"/>
            </a:ext>
          </a:extLst>
        </xdr:cNvPr>
        <xdr:cNvSpPr/>
      </xdr:nvSpPr>
      <xdr:spPr>
        <a:xfrm>
          <a:off x="3829049" y="76201"/>
          <a:ext cx="1152525" cy="533400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GERAR BASE</a:t>
          </a:r>
          <a:r>
            <a:rPr lang="en-US" sz="1100"/>
            <a:t> </a:t>
          </a:r>
        </a:p>
        <a:p>
          <a:pPr algn="ctr"/>
          <a:r>
            <a:rPr lang="en-US" sz="1100"/>
            <a:t>AHP-Gaussiano</a:t>
          </a:r>
        </a:p>
      </xdr:txBody>
    </xdr:sp>
    <xdr:clientData fPrintsWithSheet="0"/>
  </xdr:twoCellAnchor>
  <xdr:twoCellAnchor editAs="absolute">
    <xdr:from>
      <xdr:col>8</xdr:col>
      <xdr:colOff>323849</xdr:colOff>
      <xdr:row>0</xdr:row>
      <xdr:rowOff>55246</xdr:rowOff>
    </xdr:from>
    <xdr:to>
      <xdr:col>11</xdr:col>
      <xdr:colOff>72390</xdr:colOff>
      <xdr:row>2</xdr:row>
      <xdr:rowOff>134656</xdr:rowOff>
    </xdr:to>
    <xdr:sp macro="[0]!AHP_Gaussiano_AHP_Criacao_Base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C58559B5-3B4C-494B-AF6B-D1A1A2791CC8}"/>
            </a:ext>
          </a:extLst>
        </xdr:cNvPr>
        <xdr:cNvSpPr/>
      </xdr:nvSpPr>
      <xdr:spPr>
        <a:xfrm>
          <a:off x="5124449" y="66676"/>
          <a:ext cx="1524001" cy="532800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GERAR</a:t>
          </a:r>
          <a:r>
            <a:rPr lang="en-US" sz="1100" b="1" baseline="0"/>
            <a:t> BASE</a:t>
          </a:r>
          <a:r>
            <a:rPr lang="en-US" sz="1100"/>
            <a:t> </a:t>
          </a:r>
        </a:p>
        <a:p>
          <a:pPr algn="ctr"/>
          <a:r>
            <a:rPr lang="en-US" sz="1100"/>
            <a:t>AHP-Gaussiano + AHP</a:t>
          </a:r>
        </a:p>
      </xdr:txBody>
    </xdr:sp>
    <xdr:clientData fPrintsWithSheet="0"/>
  </xdr:twoCellAnchor>
  <xdr:twoCellAnchor editAs="absolute">
    <xdr:from>
      <xdr:col>6</xdr:col>
      <xdr:colOff>228599</xdr:colOff>
      <xdr:row>2</xdr:row>
      <xdr:rowOff>205741</xdr:rowOff>
    </xdr:from>
    <xdr:to>
      <xdr:col>8</xdr:col>
      <xdr:colOff>207644</xdr:colOff>
      <xdr:row>5</xdr:row>
      <xdr:rowOff>66675</xdr:rowOff>
    </xdr:to>
    <xdr:sp macro="[0]!AHP_Gaussiano_Processo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35ABF52-E356-455E-8035-E7FD6071749D}"/>
            </a:ext>
          </a:extLst>
        </xdr:cNvPr>
        <xdr:cNvSpPr/>
      </xdr:nvSpPr>
      <xdr:spPr>
        <a:xfrm>
          <a:off x="3962399" y="662941"/>
          <a:ext cx="1198245" cy="489584"/>
        </a:xfrm>
        <a:prstGeom prst="round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PROCESSAR</a:t>
          </a:r>
          <a:r>
            <a:rPr lang="en-US" sz="1100"/>
            <a:t> </a:t>
          </a:r>
        </a:p>
        <a:p>
          <a:pPr algn="ctr"/>
          <a:r>
            <a:rPr lang="en-US" sz="1100"/>
            <a:t>AHP-Gaussiano</a:t>
          </a:r>
        </a:p>
      </xdr:txBody>
    </xdr:sp>
    <xdr:clientData fPrintsWithSheet="0"/>
  </xdr:twoCellAnchor>
  <xdr:twoCellAnchor editAs="absolute">
    <xdr:from>
      <xdr:col>8</xdr:col>
      <xdr:colOff>321945</xdr:colOff>
      <xdr:row>2</xdr:row>
      <xdr:rowOff>169546</xdr:rowOff>
    </xdr:from>
    <xdr:to>
      <xdr:col>11</xdr:col>
      <xdr:colOff>92145</xdr:colOff>
      <xdr:row>5</xdr:row>
      <xdr:rowOff>53340</xdr:rowOff>
    </xdr:to>
    <xdr:sp macro="[0]!AHP_Gaussiano_AHP_PROCESSO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CCE0115C-EA4D-40AC-AA97-6049FC349FE3}"/>
            </a:ext>
          </a:extLst>
        </xdr:cNvPr>
        <xdr:cNvSpPr/>
      </xdr:nvSpPr>
      <xdr:spPr>
        <a:xfrm>
          <a:off x="5278755" y="630556"/>
          <a:ext cx="1599000" cy="512444"/>
        </a:xfrm>
        <a:prstGeom prst="roundRect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/>
            <a:t>PROCESSAR</a:t>
          </a:r>
          <a:r>
            <a:rPr lang="en-US" sz="1100"/>
            <a:t> </a:t>
          </a:r>
        </a:p>
        <a:p>
          <a:r>
            <a:rPr lang="en-US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AHP-Gaussiano + AHP</a:t>
          </a:r>
          <a:endParaRPr lang="en-US">
            <a:effectLst/>
          </a:endParaRP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550E64-DD48-47B6-8C5F-1F84A590BA2E}">
  <sheetPr codeName="Sheet1"/>
  <dimension ref="A1:AG55"/>
  <sheetViews>
    <sheetView workbookViewId="0">
      <selection activeCell="M1" sqref="A1:M1048576"/>
    </sheetView>
  </sheetViews>
  <sheetFormatPr defaultColWidth="8.85546875" defaultRowHeight="12.75" x14ac:dyDescent="0.2"/>
  <cols>
    <col min="1" max="8" width="8.85546875" style="1"/>
    <col min="9" max="9" width="20.5703125" style="1" bestFit="1" customWidth="1"/>
    <col min="10" max="12" width="14.140625" style="1" bestFit="1" customWidth="1"/>
    <col min="13" max="15" width="8.85546875" style="1"/>
    <col min="16" max="24" width="13.5703125" style="1" customWidth="1"/>
    <col min="25" max="29" width="8.85546875" style="1"/>
    <col min="30" max="30" width="12.42578125" style="1" bestFit="1" customWidth="1"/>
    <col min="31" max="16384" width="8.85546875" style="1"/>
  </cols>
  <sheetData>
    <row r="1" spans="1:33" ht="13.5" thickBot="1" x14ac:dyDescent="0.25">
      <c r="P1" s="1" t="s">
        <v>157</v>
      </c>
      <c r="Q1" s="1" t="s">
        <v>158</v>
      </c>
      <c r="R1" s="1" t="s">
        <v>159</v>
      </c>
      <c r="S1" s="1" t="s">
        <v>160</v>
      </c>
      <c r="T1" s="1" t="s">
        <v>161</v>
      </c>
      <c r="U1" s="1" t="s">
        <v>162</v>
      </c>
      <c r="V1" s="1" t="s">
        <v>163</v>
      </c>
      <c r="W1" s="1" t="s">
        <v>164</v>
      </c>
      <c r="X1" s="1" t="s">
        <v>165</v>
      </c>
    </row>
    <row r="2" spans="1:33" ht="15.75" thickBot="1" x14ac:dyDescent="0.25">
      <c r="A2" s="56" t="s">
        <v>0</v>
      </c>
      <c r="B2" s="2" t="s">
        <v>1</v>
      </c>
      <c r="C2" s="2" t="s">
        <v>3</v>
      </c>
      <c r="D2" s="2" t="s">
        <v>5</v>
      </c>
      <c r="P2" s="1" t="s">
        <v>156</v>
      </c>
      <c r="Q2" s="1" t="s">
        <v>156</v>
      </c>
      <c r="R2" s="1" t="s">
        <v>156</v>
      </c>
      <c r="S2" s="1" t="s">
        <v>156</v>
      </c>
      <c r="T2" s="1" t="s">
        <v>156</v>
      </c>
      <c r="U2" s="1" t="s">
        <v>156</v>
      </c>
      <c r="V2" s="1" t="s">
        <v>155</v>
      </c>
      <c r="W2" s="1" t="s">
        <v>155</v>
      </c>
      <c r="X2" s="1" t="s">
        <v>155</v>
      </c>
    </row>
    <row r="3" spans="1:33" ht="30.75" thickBot="1" x14ac:dyDescent="0.25">
      <c r="A3" s="57"/>
      <c r="B3" s="3" t="s">
        <v>2</v>
      </c>
      <c r="C3" s="3" t="s">
        <v>4</v>
      </c>
      <c r="D3" s="3" t="s">
        <v>6</v>
      </c>
      <c r="I3" s="4"/>
      <c r="J3" s="4" t="s">
        <v>121</v>
      </c>
      <c r="K3" s="4" t="s">
        <v>122</v>
      </c>
      <c r="L3" s="4" t="s">
        <v>123</v>
      </c>
      <c r="O3" s="4"/>
      <c r="P3" s="5" t="s">
        <v>124</v>
      </c>
      <c r="Q3" s="5" t="s">
        <v>125</v>
      </c>
      <c r="R3" s="5" t="s">
        <v>126</v>
      </c>
      <c r="S3" s="5" t="s">
        <v>127</v>
      </c>
      <c r="T3" s="5" t="s">
        <v>128</v>
      </c>
      <c r="U3" s="5" t="s">
        <v>129</v>
      </c>
      <c r="V3" s="5" t="s">
        <v>130</v>
      </c>
      <c r="W3" s="5" t="s">
        <v>133</v>
      </c>
      <c r="X3" s="6" t="s">
        <v>136</v>
      </c>
    </row>
    <row r="4" spans="1:33" ht="15.75" thickBot="1" x14ac:dyDescent="0.25">
      <c r="A4" s="5" t="s">
        <v>7</v>
      </c>
      <c r="B4" s="5" t="s">
        <v>8</v>
      </c>
      <c r="C4" s="5" t="s">
        <v>9</v>
      </c>
      <c r="D4" s="5" t="s">
        <v>10</v>
      </c>
      <c r="I4" s="5" t="s">
        <v>124</v>
      </c>
      <c r="J4" s="5">
        <v>4000</v>
      </c>
      <c r="K4" s="5">
        <v>9330</v>
      </c>
      <c r="L4" s="5">
        <v>10660</v>
      </c>
      <c r="O4" s="4" t="s">
        <v>121</v>
      </c>
      <c r="P4" s="5">
        <v>4000</v>
      </c>
      <c r="Q4" s="5">
        <v>11</v>
      </c>
      <c r="R4" s="5">
        <v>30</v>
      </c>
      <c r="S4" s="5">
        <v>25</v>
      </c>
      <c r="T4" s="5">
        <v>1</v>
      </c>
      <c r="U4" s="5">
        <v>0</v>
      </c>
      <c r="V4" s="7">
        <v>290000000</v>
      </c>
      <c r="W4" s="8">
        <v>592000000</v>
      </c>
      <c r="X4" s="5">
        <v>6</v>
      </c>
    </row>
    <row r="5" spans="1:33" ht="15.75" thickBot="1" x14ac:dyDescent="0.25">
      <c r="A5" s="5" t="s">
        <v>11</v>
      </c>
      <c r="B5" s="5" t="s">
        <v>12</v>
      </c>
      <c r="C5" s="5" t="s">
        <v>13</v>
      </c>
      <c r="D5" s="5" t="s">
        <v>14</v>
      </c>
      <c r="I5" s="5" t="s">
        <v>125</v>
      </c>
      <c r="J5" s="5">
        <v>11</v>
      </c>
      <c r="K5" s="5">
        <v>26</v>
      </c>
      <c r="L5" s="5">
        <v>30</v>
      </c>
      <c r="O5" s="4" t="s">
        <v>122</v>
      </c>
      <c r="P5" s="5">
        <v>9330</v>
      </c>
      <c r="Q5" s="5">
        <v>26</v>
      </c>
      <c r="R5" s="5">
        <v>25</v>
      </c>
      <c r="S5" s="5">
        <v>25</v>
      </c>
      <c r="T5" s="5">
        <v>2</v>
      </c>
      <c r="U5" s="5">
        <v>1</v>
      </c>
      <c r="V5" s="7">
        <v>310000000</v>
      </c>
      <c r="W5" s="8">
        <v>633000000</v>
      </c>
      <c r="X5" s="5">
        <v>8</v>
      </c>
    </row>
    <row r="6" spans="1:33" ht="15.75" thickBot="1" x14ac:dyDescent="0.25">
      <c r="A6" s="5" t="s">
        <v>15</v>
      </c>
      <c r="B6" s="5" t="s">
        <v>16</v>
      </c>
      <c r="C6" s="5" t="s">
        <v>17</v>
      </c>
      <c r="D6" s="5" t="s">
        <v>18</v>
      </c>
      <c r="I6" s="5" t="s">
        <v>126</v>
      </c>
      <c r="J6" s="5">
        <v>30</v>
      </c>
      <c r="K6" s="5">
        <v>25</v>
      </c>
      <c r="L6" s="5">
        <v>35</v>
      </c>
      <c r="O6" s="4" t="s">
        <v>123</v>
      </c>
      <c r="P6" s="5">
        <v>10660</v>
      </c>
      <c r="Q6" s="5">
        <v>30</v>
      </c>
      <c r="R6" s="5">
        <v>35</v>
      </c>
      <c r="S6" s="5">
        <v>120</v>
      </c>
      <c r="T6" s="5">
        <v>2</v>
      </c>
      <c r="U6" s="5">
        <v>1</v>
      </c>
      <c r="V6" s="7">
        <v>310000000</v>
      </c>
      <c r="W6" s="8">
        <v>633000000</v>
      </c>
      <c r="X6" s="5">
        <v>8</v>
      </c>
    </row>
    <row r="7" spans="1:33" ht="15" x14ac:dyDescent="0.2">
      <c r="A7" s="5" t="s">
        <v>19</v>
      </c>
      <c r="B7" s="5" t="s">
        <v>20</v>
      </c>
      <c r="C7" s="5" t="s">
        <v>21</v>
      </c>
      <c r="D7" s="5" t="s">
        <v>22</v>
      </c>
      <c r="I7" s="5" t="s">
        <v>127</v>
      </c>
      <c r="J7" s="5">
        <v>25</v>
      </c>
      <c r="K7" s="5">
        <v>25</v>
      </c>
      <c r="L7" s="5">
        <v>120</v>
      </c>
    </row>
    <row r="8" spans="1:33" ht="15" x14ac:dyDescent="0.2">
      <c r="A8" s="5" t="s">
        <v>23</v>
      </c>
      <c r="B8" s="5" t="s">
        <v>24</v>
      </c>
      <c r="C8" s="5" t="s">
        <v>24</v>
      </c>
      <c r="D8" s="5" t="s">
        <v>25</v>
      </c>
      <c r="I8" s="5" t="s">
        <v>128</v>
      </c>
      <c r="J8" s="5">
        <v>1</v>
      </c>
      <c r="K8" s="5">
        <v>2</v>
      </c>
      <c r="L8" s="5">
        <v>2</v>
      </c>
      <c r="P8" s="1" t="s">
        <v>166</v>
      </c>
    </row>
    <row r="9" spans="1:33" ht="15" x14ac:dyDescent="0.2">
      <c r="A9" s="5" t="s">
        <v>26</v>
      </c>
      <c r="B9" s="5" t="s">
        <v>27</v>
      </c>
      <c r="C9" s="5" t="s">
        <v>28</v>
      </c>
      <c r="D9" s="5" t="s">
        <v>29</v>
      </c>
      <c r="I9" s="5" t="s">
        <v>129</v>
      </c>
      <c r="J9" s="5">
        <v>0</v>
      </c>
      <c r="K9" s="5">
        <v>1</v>
      </c>
      <c r="L9" s="5">
        <v>1</v>
      </c>
      <c r="O9" s="5" t="s">
        <v>171</v>
      </c>
      <c r="P9" s="9" cm="1">
        <f t="array" ref="P9">IF(P$2="MAX",P4/SUM(P$4:P$6),(1/P4)/(SUM(1/P$4:P$6)))</f>
        <v>0.16673614005835766</v>
      </c>
      <c r="Q9" s="9" cm="1">
        <f t="array" ref="Q9">IF(Q$2="MAX",Q4/SUM(Q$4:Q$6),(1/Q4)/(SUM(1/Q$4:Q$6)))</f>
        <v>0.16417910447761194</v>
      </c>
      <c r="R9" s="9" cm="1">
        <f t="array" ref="R9">IF(R$2="MAX",R4/SUM(R$4:R$6),(1/R4)/(SUM(1/R$4:R$6)))</f>
        <v>0.33333333333333331</v>
      </c>
      <c r="S9" s="9" cm="1">
        <f t="array" ref="S9">IF(S$2="MAX",S4/SUM(S$4:S$6),(1/S4)/(SUM(1/S$4:S$6)))</f>
        <v>0.14705882352941177</v>
      </c>
      <c r="T9" s="9" cm="1">
        <f t="array" ref="T9">IF(T$2="MAX",T4/SUM(T$4:T$6),(1/T4)/(SUM(1/T$4:T$6)))</f>
        <v>0.2</v>
      </c>
      <c r="U9" s="9" cm="1">
        <f t="array" ref="U9">IF(U$2="MAX",U4/SUM(U$4:U$6),(1/U4)/(SUM(1/U$4:U$6)))</f>
        <v>0</v>
      </c>
      <c r="V9" s="9" cm="1">
        <f t="array" ref="V9">IF(V$2="MAX",V4/SUM(V$4:V$6),(1/V4)/(SUM(1/V$4:V$6)))</f>
        <v>0.348314606741573</v>
      </c>
      <c r="W9" s="9" cm="1">
        <f t="array" ref="W9">IF(W$2="MAX",W4/SUM(W$4:W$6),(1/W4)/(SUM(1/W$4:W$6)))</f>
        <v>0.34837644468904794</v>
      </c>
      <c r="X9" s="9" cm="1">
        <f t="array" ref="X9">IF(X$2="MAX",X4/SUM(X$4:X$6),(1/X4)/(SUM(1/X$4:X$6)))</f>
        <v>0.4</v>
      </c>
      <c r="AC9" s="10">
        <f>SUMPRODUCT(P9:X9,$P$17:$X$17)</f>
        <v>0.14645436023841538</v>
      </c>
      <c r="AD9" s="1">
        <f t="shared" ref="AD9:AD11" si="0">RANK(AC9,$AC$9:$AC$11)</f>
        <v>3</v>
      </c>
      <c r="AF9" s="1" cm="1">
        <f t="array" ref="AF9">MMULT(P9:X9,$AA$41:$AA$49)</f>
        <v>0.28435870448116696</v>
      </c>
      <c r="AG9" s="1">
        <f>RANK(AF9,$AF$9:$AF$11)</f>
        <v>3</v>
      </c>
    </row>
    <row r="10" spans="1:33" ht="15" x14ac:dyDescent="0.2">
      <c r="A10" s="5" t="s">
        <v>30</v>
      </c>
      <c r="B10" s="5" t="s">
        <v>31</v>
      </c>
      <c r="C10" s="5" t="s">
        <v>32</v>
      </c>
      <c r="D10" s="5" t="s">
        <v>33</v>
      </c>
      <c r="I10" s="5" t="s">
        <v>130</v>
      </c>
      <c r="J10" s="5" t="s">
        <v>131</v>
      </c>
      <c r="K10" s="5" t="s">
        <v>132</v>
      </c>
      <c r="L10" s="5" t="s">
        <v>132</v>
      </c>
      <c r="O10" s="5" t="s">
        <v>172</v>
      </c>
      <c r="P10" s="9" cm="1">
        <f t="array" ref="P10">IF(P$2="MAX",P5/SUM(P$4:P$6),(1/P5)/(SUM(1/P$4:P$6)))</f>
        <v>0.38891204668611923</v>
      </c>
      <c r="Q10" s="9" cm="1">
        <f t="array" ref="Q10">IF(Q$2="MAX",Q5/SUM(Q$4:Q$6),(1/Q5)/(SUM(1/Q$4:Q$6)))</f>
        <v>0.38805970149253732</v>
      </c>
      <c r="R10" s="9" cm="1">
        <f t="array" ref="R10">IF(R$2="MAX",R5/SUM(R$4:R$6),(1/R5)/(SUM(1/R$4:R$6)))</f>
        <v>0.27777777777777779</v>
      </c>
      <c r="S10" s="9" cm="1">
        <f t="array" ref="S10">IF(S$2="MAX",S5/SUM(S$4:S$6),(1/S5)/(SUM(1/S$4:S$6)))</f>
        <v>0.14705882352941177</v>
      </c>
      <c r="T10" s="9" cm="1">
        <f t="array" ref="T10">IF(T$2="MAX",T5/SUM(T$4:T$6),(1/T5)/(SUM(1/T$4:T$6)))</f>
        <v>0.4</v>
      </c>
      <c r="U10" s="9" cm="1">
        <f t="array" ref="U10">IF(U$2="MAX",U5/SUM(U$4:U$6),(1/U5)/(SUM(1/U$4:U$6)))</f>
        <v>0.5</v>
      </c>
      <c r="V10" s="9" cm="1">
        <f t="array" ref="V10">IF(V$2="MAX",V5/SUM(V$4:V$6),(1/V5)/(SUM(1/V$4:V$6)))</f>
        <v>0.32584269662921345</v>
      </c>
      <c r="W10" s="9" cm="1">
        <f t="array" ref="W10">IF(W$2="MAX",W5/SUM(W$4:W$6),(1/W5)/(SUM(1/W$4:W$6)))</f>
        <v>0.32581177765547609</v>
      </c>
      <c r="X10" s="9" cm="1">
        <f t="array" ref="X10">IF(X$2="MAX",X5/SUM(X$4:X$6),(1/X5)/(SUM(1/X$4:X$6)))</f>
        <v>0.30000000000000004</v>
      </c>
      <c r="AC10" s="10">
        <f>SUMPRODUCT(P10:X10,$P$17:$X$17)</f>
        <v>0.33922801578801803</v>
      </c>
      <c r="AD10" s="1">
        <f t="shared" si="0"/>
        <v>2</v>
      </c>
      <c r="AF10" s="1" cm="1">
        <f t="array" ref="AF10">MMULT(P10:X10,$AA$41:$AA$49)</f>
        <v>0.32071689174945434</v>
      </c>
      <c r="AG10" s="1">
        <f t="shared" ref="AG10:AG11" si="1">RANK(AF10,$AF$9:$AF$11)</f>
        <v>2</v>
      </c>
    </row>
    <row r="11" spans="1:33" ht="15" x14ac:dyDescent="0.2">
      <c r="A11" s="5" t="s">
        <v>34</v>
      </c>
      <c r="B11" s="5" t="s">
        <v>35</v>
      </c>
      <c r="C11" s="5" t="s">
        <v>36</v>
      </c>
      <c r="D11" s="5" t="s">
        <v>37</v>
      </c>
      <c r="I11" s="5" t="s">
        <v>133</v>
      </c>
      <c r="J11" s="5" t="s">
        <v>134</v>
      </c>
      <c r="K11" s="5" t="s">
        <v>135</v>
      </c>
      <c r="L11" s="5" t="s">
        <v>135</v>
      </c>
      <c r="O11" s="5" t="s">
        <v>173</v>
      </c>
      <c r="P11" s="9" cm="1">
        <f t="array" ref="P11">IF(P$2="MAX",P6/SUM(P$4:P$6),(1/P6)/(SUM(1/P$4:P$6)))</f>
        <v>0.44435181325552314</v>
      </c>
      <c r="Q11" s="9" cm="1">
        <f t="array" ref="Q11">IF(Q$2="MAX",Q6/SUM(Q$4:Q$6),(1/Q6)/(SUM(1/Q$4:Q$6)))</f>
        <v>0.44776119402985076</v>
      </c>
      <c r="R11" s="9" cm="1">
        <f t="array" ref="R11">IF(R$2="MAX",R6/SUM(R$4:R$6),(1/R6)/(SUM(1/R$4:R$6)))</f>
        <v>0.3888888888888889</v>
      </c>
      <c r="S11" s="9" cm="1">
        <f t="array" ref="S11">IF(S$2="MAX",S6/SUM(S$4:S$6),(1/S6)/(SUM(1/S$4:S$6)))</f>
        <v>0.70588235294117652</v>
      </c>
      <c r="T11" s="9" cm="1">
        <f t="array" ref="T11">IF(T$2="MAX",T6/SUM(T$4:T$6),(1/T6)/(SUM(1/T$4:T$6)))</f>
        <v>0.4</v>
      </c>
      <c r="U11" s="9" cm="1">
        <f t="array" ref="U11">IF(U$2="MAX",U6/SUM(U$4:U$6),(1/U6)/(SUM(1/U$4:U$6)))</f>
        <v>0.5</v>
      </c>
      <c r="V11" s="9" cm="1">
        <f t="array" ref="V11">IF(V$2="MAX",V6/SUM(V$4:V$6),(1/V6)/(SUM(1/V$4:V$6)))</f>
        <v>0.32584269662921345</v>
      </c>
      <c r="W11" s="9" cm="1">
        <f t="array" ref="W11">IF(W$2="MAX",W6/SUM(W$4:W$6),(1/W6)/(SUM(1/W$4:W$6)))</f>
        <v>0.32581177765547609</v>
      </c>
      <c r="X11" s="9" cm="1">
        <f t="array" ref="X11">IF(X$2="MAX",X6/SUM(X$4:X$6),(1/X6)/(SUM(1/X$4:X$6)))</f>
        <v>0.30000000000000004</v>
      </c>
      <c r="AC11" s="10">
        <f>SUMPRODUCT(P11:X11,$P$17:$X$17)</f>
        <v>0.51431762397356695</v>
      </c>
      <c r="AD11" s="1">
        <f t="shared" si="0"/>
        <v>1</v>
      </c>
      <c r="AF11" s="1" cm="1">
        <f t="array" ref="AF11">MMULT(P11:X11,$AA$41:$AA$49)</f>
        <v>0.39492440376937871</v>
      </c>
      <c r="AG11" s="1">
        <f t="shared" si="1"/>
        <v>1</v>
      </c>
    </row>
    <row r="12" spans="1:33" ht="15.75" thickBot="1" x14ac:dyDescent="0.25">
      <c r="A12" s="5" t="s">
        <v>38</v>
      </c>
      <c r="B12" s="5" t="s">
        <v>39</v>
      </c>
      <c r="C12" s="5" t="s">
        <v>40</v>
      </c>
      <c r="D12" s="5" t="s">
        <v>41</v>
      </c>
      <c r="I12" s="6" t="s">
        <v>136</v>
      </c>
      <c r="J12" s="6" t="s">
        <v>119</v>
      </c>
      <c r="K12" s="6" t="s">
        <v>120</v>
      </c>
      <c r="L12" s="6" t="s">
        <v>120</v>
      </c>
    </row>
    <row r="13" spans="1:33" ht="15" x14ac:dyDescent="0.2">
      <c r="A13" s="5" t="s">
        <v>42</v>
      </c>
      <c r="B13" s="5" t="s">
        <v>43</v>
      </c>
      <c r="C13" s="5" t="s">
        <v>41</v>
      </c>
      <c r="D13" s="5" t="s">
        <v>41</v>
      </c>
      <c r="O13" s="1" t="s">
        <v>167</v>
      </c>
      <c r="P13" s="11">
        <f>AVERAGE(P9:P11)</f>
        <v>0.33333333333333331</v>
      </c>
      <c r="Q13" s="11">
        <f t="shared" ref="Q13:X13" si="2">AVERAGE(Q9:Q11)</f>
        <v>0.33333333333333331</v>
      </c>
      <c r="R13" s="11">
        <f t="shared" si="2"/>
        <v>0.33333333333333331</v>
      </c>
      <c r="S13" s="11">
        <f t="shared" si="2"/>
        <v>0.33333333333333331</v>
      </c>
      <c r="T13" s="11">
        <f t="shared" si="2"/>
        <v>0.33333333333333331</v>
      </c>
      <c r="U13" s="11">
        <f t="shared" si="2"/>
        <v>0.33333333333333331</v>
      </c>
      <c r="V13" s="11">
        <f t="shared" si="2"/>
        <v>0.33333333333333326</v>
      </c>
      <c r="W13" s="11">
        <f t="shared" si="2"/>
        <v>0.33333333333333331</v>
      </c>
      <c r="X13" s="11">
        <f t="shared" si="2"/>
        <v>0.33333333333333331</v>
      </c>
    </row>
    <row r="14" spans="1:33" ht="15.75" thickBot="1" x14ac:dyDescent="0.25">
      <c r="A14" s="5" t="s">
        <v>44</v>
      </c>
      <c r="B14" s="5" t="s">
        <v>45</v>
      </c>
      <c r="C14" s="5" t="s">
        <v>46</v>
      </c>
      <c r="D14" s="5" t="s">
        <v>46</v>
      </c>
      <c r="O14" s="1" t="s">
        <v>168</v>
      </c>
      <c r="P14" s="11">
        <f>STDEV(P9:P11)</f>
        <v>0.1469161683908283</v>
      </c>
      <c r="Q14" s="11">
        <f t="shared" ref="Q14:X14" si="3">STDEV(Q9:Q11)</f>
        <v>0.14950228061011669</v>
      </c>
      <c r="R14" s="11">
        <f t="shared" si="3"/>
        <v>5.5555555555555677E-2</v>
      </c>
      <c r="S14" s="11">
        <f t="shared" si="3"/>
        <v>0.32263691513537918</v>
      </c>
      <c r="T14" s="11">
        <f t="shared" si="3"/>
        <v>0.1154700538379254</v>
      </c>
      <c r="U14" s="11">
        <f t="shared" si="3"/>
        <v>0.28867513459481292</v>
      </c>
      <c r="V14" s="11">
        <f t="shared" si="3"/>
        <v>1.2974163352575859E-2</v>
      </c>
      <c r="W14" s="11">
        <f t="shared" si="3"/>
        <v>1.3027716586006982E-2</v>
      </c>
      <c r="X14" s="11">
        <f t="shared" si="3"/>
        <v>5.7735026918963005E-2</v>
      </c>
    </row>
    <row r="15" spans="1:33" ht="15.75" thickBot="1" x14ac:dyDescent="0.25">
      <c r="A15" s="5" t="s">
        <v>47</v>
      </c>
      <c r="B15" s="5">
        <v>1710</v>
      </c>
      <c r="C15" s="7">
        <v>1815</v>
      </c>
      <c r="D15" s="7">
        <v>2030</v>
      </c>
      <c r="I15" s="4"/>
      <c r="J15" s="4" t="s">
        <v>121</v>
      </c>
      <c r="K15" s="4" t="s">
        <v>122</v>
      </c>
      <c r="L15" s="4" t="s">
        <v>123</v>
      </c>
      <c r="M15" s="4" t="s">
        <v>137</v>
      </c>
      <c r="O15" s="12" t="s">
        <v>169</v>
      </c>
      <c r="P15" s="11">
        <f t="shared" ref="P15:X15" si="4">P14/P13</f>
        <v>0.44074850517248493</v>
      </c>
      <c r="Q15" s="11">
        <f t="shared" si="4"/>
        <v>0.44850684183035011</v>
      </c>
      <c r="R15" s="11">
        <f t="shared" si="4"/>
        <v>0.16666666666666705</v>
      </c>
      <c r="S15" s="11">
        <f t="shared" si="4"/>
        <v>0.96791074540613753</v>
      </c>
      <c r="T15" s="11">
        <f t="shared" si="4"/>
        <v>0.34641016151377624</v>
      </c>
      <c r="U15" s="11">
        <f t="shared" si="4"/>
        <v>0.86602540378443882</v>
      </c>
      <c r="V15" s="11">
        <f t="shared" si="4"/>
        <v>3.8922490057727584E-2</v>
      </c>
      <c r="W15" s="11">
        <f t="shared" si="4"/>
        <v>3.9083149758020949E-2</v>
      </c>
      <c r="X15" s="11">
        <f t="shared" si="4"/>
        <v>0.17320508075688903</v>
      </c>
    </row>
    <row r="16" spans="1:33" ht="15" x14ac:dyDescent="0.2">
      <c r="A16" s="5" t="s">
        <v>48</v>
      </c>
      <c r="B16" s="7">
        <v>1813</v>
      </c>
      <c r="C16" s="7">
        <v>1924</v>
      </c>
      <c r="D16" s="7">
        <v>2152</v>
      </c>
      <c r="I16" s="5" t="s">
        <v>124</v>
      </c>
      <c r="J16" s="5" t="s">
        <v>138</v>
      </c>
      <c r="K16" s="5" t="s">
        <v>139</v>
      </c>
      <c r="L16" s="5" t="s">
        <v>140</v>
      </c>
      <c r="M16" s="5">
        <v>1</v>
      </c>
      <c r="P16" s="13"/>
      <c r="Q16" s="13"/>
      <c r="R16" s="13"/>
      <c r="S16" s="13"/>
      <c r="T16" s="13"/>
      <c r="U16" s="13"/>
      <c r="V16" s="13"/>
      <c r="W16" s="13"/>
      <c r="X16" s="11"/>
    </row>
    <row r="17" spans="1:24" ht="15" x14ac:dyDescent="0.2">
      <c r="A17" s="5" t="s">
        <v>49</v>
      </c>
      <c r="B17" s="5">
        <v>418</v>
      </c>
      <c r="C17" s="5">
        <v>589</v>
      </c>
      <c r="D17" s="5">
        <v>728</v>
      </c>
      <c r="I17" s="5" t="s">
        <v>125</v>
      </c>
      <c r="J17" s="5" t="s">
        <v>141</v>
      </c>
      <c r="K17" s="5" t="s">
        <v>142</v>
      </c>
      <c r="L17" s="5" t="s">
        <v>143</v>
      </c>
      <c r="M17" s="5">
        <v>1</v>
      </c>
      <c r="O17" s="5" t="s">
        <v>170</v>
      </c>
      <c r="P17" s="14">
        <f t="shared" ref="P17:X17" si="5">P15/SUM($P$15:$X$15)</f>
        <v>0.12638025906167052</v>
      </c>
      <c r="Q17" s="14">
        <f t="shared" si="5"/>
        <v>0.12860488509035084</v>
      </c>
      <c r="R17" s="14">
        <f t="shared" si="5"/>
        <v>4.7790012360984437E-2</v>
      </c>
      <c r="S17" s="14">
        <f t="shared" si="5"/>
        <v>0.27753879892373323</v>
      </c>
      <c r="T17" s="14">
        <f t="shared" si="5"/>
        <v>9.9329675404283668E-2</v>
      </c>
      <c r="U17" s="14">
        <f t="shared" si="5"/>
        <v>0.24832418851070864</v>
      </c>
      <c r="V17" s="14">
        <f t="shared" si="5"/>
        <v>1.1160637685874546E-2</v>
      </c>
      <c r="W17" s="14">
        <f t="shared" si="5"/>
        <v>1.1206705260252137E-2</v>
      </c>
      <c r="X17" s="15">
        <f t="shared" si="5"/>
        <v>4.9664837702142098E-2</v>
      </c>
    </row>
    <row r="18" spans="1:24" ht="15.75" thickBot="1" x14ac:dyDescent="0.25">
      <c r="A18" s="5" t="s">
        <v>50</v>
      </c>
      <c r="B18" s="7">
        <v>2231</v>
      </c>
      <c r="C18" s="7">
        <v>2513</v>
      </c>
      <c r="D18" s="7">
        <v>2880</v>
      </c>
      <c r="I18" s="5" t="s">
        <v>126</v>
      </c>
      <c r="J18" s="5" t="s">
        <v>144</v>
      </c>
      <c r="K18" s="5" t="s">
        <v>145</v>
      </c>
      <c r="L18" s="5" t="s">
        <v>146</v>
      </c>
      <c r="M18" s="5">
        <v>1</v>
      </c>
      <c r="P18" s="5"/>
      <c r="Q18" s="5"/>
      <c r="R18" s="5"/>
      <c r="S18" s="5"/>
      <c r="T18" s="5"/>
      <c r="U18" s="5"/>
      <c r="V18" s="5"/>
      <c r="W18" s="5"/>
    </row>
    <row r="19" spans="1:24" ht="15.75" thickBot="1" x14ac:dyDescent="0.25">
      <c r="A19" s="5" t="s">
        <v>51</v>
      </c>
      <c r="B19" s="7">
        <v>2388</v>
      </c>
      <c r="C19" s="7">
        <v>2690</v>
      </c>
      <c r="D19" s="7">
        <v>3085</v>
      </c>
      <c r="I19" s="5" t="s">
        <v>127</v>
      </c>
      <c r="J19" s="5" t="s">
        <v>147</v>
      </c>
      <c r="K19" s="5" t="s">
        <v>147</v>
      </c>
      <c r="L19" s="5" t="s">
        <v>148</v>
      </c>
      <c r="M19" s="5">
        <v>1</v>
      </c>
      <c r="P19" s="16"/>
      <c r="Q19" s="5"/>
      <c r="R19" s="5"/>
      <c r="S19" s="5"/>
      <c r="T19" s="5"/>
      <c r="U19" s="5"/>
      <c r="V19" s="5"/>
      <c r="W19" s="5"/>
      <c r="X19" s="6"/>
    </row>
    <row r="20" spans="1:24" ht="15" x14ac:dyDescent="0.2">
      <c r="A20" s="5" t="s">
        <v>52</v>
      </c>
      <c r="B20" s="5" t="s">
        <v>53</v>
      </c>
      <c r="C20" s="7">
        <v>1494</v>
      </c>
      <c r="D20" s="7">
        <v>1500</v>
      </c>
      <c r="I20" s="5" t="s">
        <v>128</v>
      </c>
      <c r="J20" s="5" t="s">
        <v>149</v>
      </c>
      <c r="K20" s="5" t="s">
        <v>150</v>
      </c>
      <c r="L20" s="5" t="s">
        <v>150</v>
      </c>
      <c r="M20" s="5">
        <v>1</v>
      </c>
      <c r="P20" s="5"/>
      <c r="Q20" s="5"/>
      <c r="R20" s="5"/>
      <c r="S20" s="5"/>
      <c r="T20" s="5"/>
      <c r="U20" s="5"/>
      <c r="V20" s="5"/>
      <c r="W20" s="5"/>
    </row>
    <row r="21" spans="1:24" ht="15" x14ac:dyDescent="0.2">
      <c r="A21" s="5" t="s">
        <v>54</v>
      </c>
      <c r="B21" s="7">
        <v>1029</v>
      </c>
      <c r="C21" s="7">
        <v>1057</v>
      </c>
      <c r="D21" s="7">
        <v>1133</v>
      </c>
      <c r="I21" s="5" t="s">
        <v>129</v>
      </c>
      <c r="J21" s="5">
        <v>0</v>
      </c>
      <c r="K21" s="5" t="s">
        <v>151</v>
      </c>
      <c r="L21" s="5" t="s">
        <v>151</v>
      </c>
      <c r="M21" s="5">
        <v>1</v>
      </c>
    </row>
    <row r="22" spans="1:24" ht="15" x14ac:dyDescent="0.2">
      <c r="A22" s="5" t="s">
        <v>55</v>
      </c>
      <c r="B22" s="5" t="s">
        <v>56</v>
      </c>
      <c r="C22" s="5" t="s">
        <v>57</v>
      </c>
      <c r="D22" s="5" t="s">
        <v>58</v>
      </c>
      <c r="I22" s="5" t="s">
        <v>130</v>
      </c>
      <c r="J22" s="5" t="s">
        <v>152</v>
      </c>
      <c r="K22" s="5" t="s">
        <v>153</v>
      </c>
      <c r="L22" s="5" t="s">
        <v>153</v>
      </c>
      <c r="M22" s="5">
        <v>1</v>
      </c>
    </row>
    <row r="23" spans="1:24" ht="15" x14ac:dyDescent="0.2">
      <c r="A23" s="5" t="s">
        <v>59</v>
      </c>
      <c r="B23" s="5" t="s">
        <v>60</v>
      </c>
      <c r="C23" s="5" t="s">
        <v>61</v>
      </c>
      <c r="D23" s="5" t="s">
        <v>61</v>
      </c>
      <c r="I23" s="5" t="s">
        <v>133</v>
      </c>
      <c r="J23" s="5" t="s">
        <v>152</v>
      </c>
      <c r="K23" s="5" t="s">
        <v>153</v>
      </c>
      <c r="L23" s="5" t="s">
        <v>153</v>
      </c>
      <c r="M23" s="5">
        <v>1</v>
      </c>
      <c r="N23" s="5"/>
      <c r="P23" s="5" t="s">
        <v>157</v>
      </c>
      <c r="Q23" s="5" t="s">
        <v>158</v>
      </c>
      <c r="R23" s="5" t="s">
        <v>159</v>
      </c>
      <c r="S23" s="5" t="s">
        <v>160</v>
      </c>
      <c r="T23" s="5" t="s">
        <v>161</v>
      </c>
      <c r="U23" s="5" t="s">
        <v>162</v>
      </c>
      <c r="V23" s="5" t="s">
        <v>163</v>
      </c>
      <c r="W23" s="5" t="s">
        <v>164</v>
      </c>
      <c r="X23" s="5" t="s">
        <v>165</v>
      </c>
    </row>
    <row r="24" spans="1:24" ht="15.75" thickBot="1" x14ac:dyDescent="0.25">
      <c r="A24" s="5" t="s">
        <v>62</v>
      </c>
      <c r="B24" s="5" t="s">
        <v>63</v>
      </c>
      <c r="C24" s="5" t="s">
        <v>64</v>
      </c>
      <c r="D24" s="5" t="s">
        <v>65</v>
      </c>
      <c r="I24" s="6" t="s">
        <v>136</v>
      </c>
      <c r="J24" s="6" t="s">
        <v>150</v>
      </c>
      <c r="K24" s="6" t="s">
        <v>154</v>
      </c>
      <c r="L24" s="6" t="s">
        <v>154</v>
      </c>
      <c r="M24" s="6">
        <v>1</v>
      </c>
      <c r="N24" s="17"/>
      <c r="O24" s="5" t="s">
        <v>157</v>
      </c>
      <c r="P24" s="1">
        <f>IF($O24=P$23,1,1/INDEX($P$24:$X$32,MATCH($O24,$P$23:$X$23,0),MATCH(P$23,$O$24:$O$32,0)))</f>
        <v>1</v>
      </c>
      <c r="Q24" s="1">
        <v>1</v>
      </c>
      <c r="R24" s="1">
        <v>1</v>
      </c>
      <c r="S24" s="18">
        <f t="shared" ref="S24:S26" si="6">1/3</f>
        <v>0.33333333333333331</v>
      </c>
      <c r="T24" s="1">
        <v>5</v>
      </c>
      <c r="U24" s="1">
        <v>1</v>
      </c>
      <c r="V24" s="18">
        <f t="shared" ref="V24:W27" si="7">1/3</f>
        <v>0.33333333333333331</v>
      </c>
      <c r="W24" s="1">
        <f t="shared" si="7"/>
        <v>0.33333333333333331</v>
      </c>
      <c r="X24" s="1">
        <v>0.25</v>
      </c>
    </row>
    <row r="25" spans="1:24" ht="15" x14ac:dyDescent="0.2">
      <c r="A25" s="5" t="s">
        <v>66</v>
      </c>
      <c r="B25" s="5" t="s">
        <v>67</v>
      </c>
      <c r="C25" s="5" t="s">
        <v>68</v>
      </c>
      <c r="D25" s="5" t="s">
        <v>69</v>
      </c>
      <c r="O25" s="5" t="s">
        <v>158</v>
      </c>
      <c r="P25" s="1">
        <f>IF($O25=P$23,1,1/INDEX($P$24:$X$32,MATCH(P$23,$P$23:$X$23,0),MATCH($O25,$O$24:$O$32,0)))</f>
        <v>1</v>
      </c>
      <c r="Q25" s="1">
        <f>IF($O25=Q$23,1,1/INDEX($P$24:$X$32,MATCH(Q$23,$P$23:$X$23,0),MATCH($O25,$O$24:$O$32,0)))</f>
        <v>1</v>
      </c>
      <c r="R25" s="1">
        <v>1</v>
      </c>
      <c r="S25" s="1">
        <f t="shared" si="6"/>
        <v>0.33333333333333331</v>
      </c>
      <c r="T25" s="1">
        <v>5</v>
      </c>
      <c r="U25" s="1">
        <v>1</v>
      </c>
      <c r="V25" s="18">
        <f t="shared" si="7"/>
        <v>0.33333333333333331</v>
      </c>
      <c r="W25" s="1">
        <f t="shared" si="7"/>
        <v>0.33333333333333331</v>
      </c>
      <c r="X25" s="1">
        <v>0.25</v>
      </c>
    </row>
    <row r="26" spans="1:24" ht="15" x14ac:dyDescent="0.2">
      <c r="A26" s="5" t="s">
        <v>70</v>
      </c>
      <c r="B26" s="7">
        <v>1215</v>
      </c>
      <c r="C26" s="7">
        <v>1348</v>
      </c>
      <c r="D26" s="7">
        <v>1463</v>
      </c>
      <c r="O26" s="5" t="s">
        <v>159</v>
      </c>
      <c r="P26" s="1">
        <f t="shared" ref="P26:X32" si="8">IF($O26=P$23,1,1/INDEX($P$24:$X$32,MATCH(P$23,$P$23:$X$23,0),MATCH($O26,$O$24:$O$32,0)))</f>
        <v>1</v>
      </c>
      <c r="Q26" s="1">
        <f t="shared" si="8"/>
        <v>1</v>
      </c>
      <c r="R26" s="1">
        <f t="shared" si="8"/>
        <v>1</v>
      </c>
      <c r="S26" s="1">
        <f t="shared" si="6"/>
        <v>0.33333333333333331</v>
      </c>
      <c r="T26" s="1">
        <v>5</v>
      </c>
      <c r="U26" s="1">
        <v>1</v>
      </c>
      <c r="V26" s="18">
        <f t="shared" si="7"/>
        <v>0.33333333333333331</v>
      </c>
      <c r="W26" s="1">
        <f t="shared" si="7"/>
        <v>0.33333333333333331</v>
      </c>
      <c r="X26" s="1">
        <v>0.25</v>
      </c>
    </row>
    <row r="27" spans="1:24" ht="15" x14ac:dyDescent="0.2">
      <c r="A27" s="5" t="s">
        <v>71</v>
      </c>
      <c r="B27" s="5" t="s">
        <v>72</v>
      </c>
      <c r="C27" s="5" t="s">
        <v>73</v>
      </c>
      <c r="D27" s="5" t="s">
        <v>73</v>
      </c>
      <c r="O27" s="5" t="s">
        <v>160</v>
      </c>
      <c r="P27" s="1">
        <f t="shared" si="8"/>
        <v>3</v>
      </c>
      <c r="Q27" s="1">
        <f t="shared" si="8"/>
        <v>3</v>
      </c>
      <c r="R27" s="1">
        <f t="shared" si="8"/>
        <v>3</v>
      </c>
      <c r="S27" s="1">
        <f t="shared" si="8"/>
        <v>1</v>
      </c>
      <c r="T27" s="1">
        <v>3</v>
      </c>
      <c r="U27" s="1">
        <v>1</v>
      </c>
      <c r="V27" s="18">
        <f t="shared" si="7"/>
        <v>0.33333333333333331</v>
      </c>
      <c r="W27" s="1">
        <f t="shared" ref="W27:X27" si="9">1/3</f>
        <v>0.33333333333333331</v>
      </c>
      <c r="X27" s="1">
        <f t="shared" si="9"/>
        <v>0.33333333333333331</v>
      </c>
    </row>
    <row r="28" spans="1:24" ht="15" x14ac:dyDescent="0.2">
      <c r="A28" s="5" t="s">
        <v>74</v>
      </c>
      <c r="B28" s="5" t="s">
        <v>75</v>
      </c>
      <c r="C28" s="5" t="s">
        <v>76</v>
      </c>
      <c r="D28" s="5" t="s">
        <v>77</v>
      </c>
      <c r="O28" s="5" t="s">
        <v>161</v>
      </c>
      <c r="P28" s="1">
        <f t="shared" si="8"/>
        <v>0.2</v>
      </c>
      <c r="Q28" s="1">
        <f t="shared" si="8"/>
        <v>0.2</v>
      </c>
      <c r="R28" s="1">
        <f t="shared" si="8"/>
        <v>0.2</v>
      </c>
      <c r="S28" s="1">
        <f t="shared" si="8"/>
        <v>0.33333333333333331</v>
      </c>
      <c r="T28" s="1">
        <f t="shared" si="8"/>
        <v>1</v>
      </c>
      <c r="U28" s="1">
        <v>0.2</v>
      </c>
      <c r="V28" s="1">
        <v>0.2</v>
      </c>
      <c r="W28" s="1">
        <v>0.2</v>
      </c>
      <c r="X28" s="1">
        <f>1/7</f>
        <v>0.14285714285714285</v>
      </c>
    </row>
    <row r="29" spans="1:24" ht="15" x14ac:dyDescent="0.2">
      <c r="A29" s="5" t="s">
        <v>78</v>
      </c>
      <c r="B29" s="7">
        <v>4000</v>
      </c>
      <c r="C29" s="7">
        <v>9330</v>
      </c>
      <c r="D29" s="7">
        <v>10660</v>
      </c>
      <c r="O29" s="5" t="s">
        <v>162</v>
      </c>
      <c r="P29" s="1">
        <f t="shared" si="8"/>
        <v>1</v>
      </c>
      <c r="Q29" s="1">
        <f t="shared" si="8"/>
        <v>1</v>
      </c>
      <c r="R29" s="1">
        <f t="shared" si="8"/>
        <v>1</v>
      </c>
      <c r="S29" s="1">
        <f t="shared" si="8"/>
        <v>1</v>
      </c>
      <c r="T29" s="1">
        <f t="shared" si="8"/>
        <v>5</v>
      </c>
      <c r="U29" s="1">
        <f t="shared" si="8"/>
        <v>1</v>
      </c>
      <c r="V29" s="18">
        <f t="shared" ref="V29:X29" si="10">1/3</f>
        <v>0.33333333333333331</v>
      </c>
      <c r="W29" s="18">
        <f t="shared" si="10"/>
        <v>0.33333333333333331</v>
      </c>
      <c r="X29" s="18">
        <f t="shared" si="10"/>
        <v>0.33333333333333331</v>
      </c>
    </row>
    <row r="30" spans="1:24" ht="15" x14ac:dyDescent="0.2">
      <c r="A30" s="5" t="s">
        <v>79</v>
      </c>
      <c r="B30" s="5" t="s">
        <v>80</v>
      </c>
      <c r="C30" s="7">
        <v>7070</v>
      </c>
      <c r="D30" s="7">
        <v>8011</v>
      </c>
      <c r="O30" s="5" t="s">
        <v>163</v>
      </c>
      <c r="P30" s="1">
        <f t="shared" si="8"/>
        <v>3</v>
      </c>
      <c r="Q30" s="1">
        <f t="shared" si="8"/>
        <v>3</v>
      </c>
      <c r="R30" s="1">
        <f t="shared" si="8"/>
        <v>3</v>
      </c>
      <c r="S30" s="1">
        <f t="shared" si="8"/>
        <v>3</v>
      </c>
      <c r="T30" s="1">
        <f t="shared" si="8"/>
        <v>5</v>
      </c>
      <c r="U30" s="1">
        <f t="shared" si="8"/>
        <v>3</v>
      </c>
      <c r="V30" s="1">
        <f t="shared" si="8"/>
        <v>1</v>
      </c>
      <c r="W30" s="1">
        <v>1</v>
      </c>
      <c r="X30" s="1">
        <v>1</v>
      </c>
    </row>
    <row r="31" spans="1:24" ht="15" x14ac:dyDescent="0.2">
      <c r="A31" s="5" t="s">
        <v>81</v>
      </c>
      <c r="B31" s="5">
        <v>11</v>
      </c>
      <c r="C31" s="5">
        <v>26</v>
      </c>
      <c r="D31" s="5">
        <v>30</v>
      </c>
      <c r="O31" s="5" t="s">
        <v>164</v>
      </c>
      <c r="P31" s="1">
        <f t="shared" si="8"/>
        <v>3</v>
      </c>
      <c r="Q31" s="1">
        <f t="shared" si="8"/>
        <v>3</v>
      </c>
      <c r="R31" s="1">
        <f t="shared" si="8"/>
        <v>3</v>
      </c>
      <c r="S31" s="1">
        <f t="shared" si="8"/>
        <v>3</v>
      </c>
      <c r="T31" s="1">
        <f t="shared" si="8"/>
        <v>5</v>
      </c>
      <c r="U31" s="1">
        <f t="shared" si="8"/>
        <v>3</v>
      </c>
      <c r="V31" s="1">
        <f t="shared" si="8"/>
        <v>1</v>
      </c>
      <c r="W31" s="1">
        <f t="shared" si="8"/>
        <v>1</v>
      </c>
      <c r="X31" s="1">
        <v>1</v>
      </c>
    </row>
    <row r="32" spans="1:24" ht="15" x14ac:dyDescent="0.2">
      <c r="A32" s="5" t="s">
        <v>82</v>
      </c>
      <c r="B32" s="5" t="s">
        <v>80</v>
      </c>
      <c r="C32" s="5">
        <v>16</v>
      </c>
      <c r="D32" s="5">
        <v>19</v>
      </c>
      <c r="O32" s="5" t="s">
        <v>165</v>
      </c>
      <c r="P32" s="1">
        <f t="shared" si="8"/>
        <v>4</v>
      </c>
      <c r="Q32" s="1">
        <f t="shared" si="8"/>
        <v>4</v>
      </c>
      <c r="R32" s="1">
        <f t="shared" si="8"/>
        <v>4</v>
      </c>
      <c r="S32" s="1">
        <f t="shared" si="8"/>
        <v>3</v>
      </c>
      <c r="T32" s="1">
        <f t="shared" si="8"/>
        <v>7</v>
      </c>
      <c r="U32" s="1">
        <f t="shared" si="8"/>
        <v>3</v>
      </c>
      <c r="V32" s="1">
        <f t="shared" si="8"/>
        <v>1</v>
      </c>
      <c r="W32" s="1">
        <f t="shared" si="8"/>
        <v>1</v>
      </c>
      <c r="X32" s="1">
        <f t="shared" si="8"/>
        <v>1</v>
      </c>
    </row>
    <row r="33" spans="1:27" ht="15" x14ac:dyDescent="0.2">
      <c r="A33" s="5" t="s">
        <v>83</v>
      </c>
      <c r="B33" s="5">
        <v>30</v>
      </c>
      <c r="C33" s="5">
        <v>25</v>
      </c>
      <c r="D33" s="5">
        <v>35</v>
      </c>
    </row>
    <row r="34" spans="1:27" ht="15" x14ac:dyDescent="0.2">
      <c r="A34" s="5"/>
      <c r="B34" s="5"/>
      <c r="C34" s="5"/>
      <c r="D34" s="5"/>
      <c r="P34" s="11"/>
      <c r="Q34" s="11"/>
      <c r="R34" s="11"/>
      <c r="S34" s="11"/>
      <c r="T34" s="11"/>
      <c r="U34" s="11"/>
      <c r="V34" s="11"/>
      <c r="W34" s="11"/>
      <c r="X34" s="11"/>
    </row>
    <row r="35" spans="1:27" ht="15" x14ac:dyDescent="0.2">
      <c r="A35" s="5"/>
      <c r="B35" s="5"/>
      <c r="C35" s="5"/>
      <c r="D35" s="5"/>
      <c r="P35" s="11"/>
      <c r="Q35" s="11"/>
      <c r="R35" s="11"/>
      <c r="S35" s="11"/>
      <c r="T35" s="11"/>
      <c r="U35" s="11"/>
      <c r="V35" s="11"/>
      <c r="W35" s="11"/>
      <c r="X35" s="11"/>
    </row>
    <row r="36" spans="1:27" ht="15" x14ac:dyDescent="0.2">
      <c r="A36" s="5"/>
      <c r="B36" s="5"/>
      <c r="C36" s="5"/>
      <c r="D36" s="5"/>
      <c r="O36" s="12"/>
      <c r="P36" s="11"/>
      <c r="Q36" s="11"/>
      <c r="R36" s="11"/>
      <c r="S36" s="11"/>
      <c r="T36" s="11"/>
      <c r="U36" s="11"/>
      <c r="V36" s="11"/>
      <c r="W36" s="11"/>
      <c r="X36" s="11"/>
    </row>
    <row r="37" spans="1:27" ht="15" x14ac:dyDescent="0.2">
      <c r="A37" s="5"/>
      <c r="B37" s="5"/>
      <c r="C37" s="5"/>
      <c r="D37" s="5"/>
    </row>
    <row r="38" spans="1:27" ht="15" x14ac:dyDescent="0.2">
      <c r="A38" s="5"/>
      <c r="B38" s="5"/>
      <c r="C38" s="5"/>
      <c r="D38" s="5"/>
      <c r="O38" s="5"/>
      <c r="P38" s="13"/>
      <c r="Q38" s="13"/>
      <c r="R38" s="13"/>
      <c r="S38" s="13"/>
      <c r="T38" s="13"/>
      <c r="U38" s="13"/>
      <c r="V38" s="13"/>
      <c r="W38" s="13"/>
      <c r="X38" s="13"/>
    </row>
    <row r="39" spans="1:27" ht="15" x14ac:dyDescent="0.2">
      <c r="A39" s="5"/>
      <c r="B39" s="5"/>
      <c r="C39" s="5"/>
      <c r="D39" s="5"/>
    </row>
    <row r="40" spans="1:27" ht="15" x14ac:dyDescent="0.2">
      <c r="A40" s="5" t="s">
        <v>84</v>
      </c>
      <c r="B40" s="5">
        <v>150</v>
      </c>
      <c r="C40" s="5" t="s">
        <v>85</v>
      </c>
      <c r="D40" s="5" t="s">
        <v>85</v>
      </c>
      <c r="P40" s="5" t="s">
        <v>157</v>
      </c>
      <c r="Q40" s="5" t="s">
        <v>158</v>
      </c>
      <c r="R40" s="5" t="s">
        <v>159</v>
      </c>
      <c r="S40" s="5" t="s">
        <v>160</v>
      </c>
      <c r="T40" s="5" t="s">
        <v>161</v>
      </c>
      <c r="U40" s="5" t="s">
        <v>162</v>
      </c>
      <c r="V40" s="5" t="s">
        <v>163</v>
      </c>
      <c r="W40" s="5" t="s">
        <v>164</v>
      </c>
      <c r="X40" s="5" t="s">
        <v>165</v>
      </c>
    </row>
    <row r="41" spans="1:27" ht="15" x14ac:dyDescent="0.2">
      <c r="A41" s="5" t="s">
        <v>86</v>
      </c>
      <c r="B41" s="5">
        <v>27</v>
      </c>
      <c r="C41" s="5">
        <v>28</v>
      </c>
      <c r="D41" s="5">
        <v>28</v>
      </c>
      <c r="O41" s="5" t="s">
        <v>157</v>
      </c>
      <c r="P41" s="19">
        <f t="shared" ref="P41:X41" si="11">P24/SUM(P$24:P$32)</f>
        <v>5.8139534883720929E-2</v>
      </c>
      <c r="Q41" s="19">
        <f t="shared" si="11"/>
        <v>5.8139534883720929E-2</v>
      </c>
      <c r="R41" s="19">
        <f t="shared" si="11"/>
        <v>5.8139534883720929E-2</v>
      </c>
      <c r="S41" s="19">
        <f t="shared" si="11"/>
        <v>2.7027027027027025E-2</v>
      </c>
      <c r="T41" s="19">
        <f t="shared" si="11"/>
        <v>0.12195121951219512</v>
      </c>
      <c r="U41" s="19">
        <f t="shared" si="11"/>
        <v>7.0422535211267609E-2</v>
      </c>
      <c r="V41" s="19">
        <f t="shared" si="11"/>
        <v>6.8493150684931503E-2</v>
      </c>
      <c r="W41" s="19">
        <f t="shared" si="11"/>
        <v>6.8493150684931503E-2</v>
      </c>
      <c r="X41" s="19">
        <f t="shared" si="11"/>
        <v>5.4830287206266322E-2</v>
      </c>
      <c r="Z41" s="19">
        <f t="shared" ref="Z41:Z49" si="12">SUM(P41:X41)</f>
        <v>0.58563597497778197</v>
      </c>
      <c r="AA41" s="1">
        <f t="shared" ref="AA41:AA49" si="13">Z41/SUM($Z$41:$Z$49)</f>
        <v>6.5070663886420216E-2</v>
      </c>
    </row>
    <row r="42" spans="1:27" ht="15" x14ac:dyDescent="0.2">
      <c r="A42" s="5" t="s">
        <v>87</v>
      </c>
      <c r="B42" s="7">
        <v>1415</v>
      </c>
      <c r="C42" s="7">
        <v>1405</v>
      </c>
      <c r="D42" s="7">
        <v>1386</v>
      </c>
      <c r="O42" s="5" t="s">
        <v>158</v>
      </c>
      <c r="P42" s="19">
        <f t="shared" ref="P42:X42" si="14">P25/SUM(P$24:P$32)</f>
        <v>5.8139534883720929E-2</v>
      </c>
      <c r="Q42" s="19">
        <f t="shared" si="14"/>
        <v>5.8139534883720929E-2</v>
      </c>
      <c r="R42" s="19">
        <f t="shared" si="14"/>
        <v>5.8139534883720929E-2</v>
      </c>
      <c r="S42" s="19">
        <f t="shared" si="14"/>
        <v>2.7027027027027025E-2</v>
      </c>
      <c r="T42" s="19">
        <f t="shared" si="14"/>
        <v>0.12195121951219512</v>
      </c>
      <c r="U42" s="19">
        <f t="shared" si="14"/>
        <v>7.0422535211267609E-2</v>
      </c>
      <c r="V42" s="19">
        <f t="shared" si="14"/>
        <v>6.8493150684931503E-2</v>
      </c>
      <c r="W42" s="19">
        <f t="shared" si="14"/>
        <v>6.8493150684931503E-2</v>
      </c>
      <c r="X42" s="19">
        <f t="shared" si="14"/>
        <v>5.4830287206266322E-2</v>
      </c>
      <c r="Z42" s="19">
        <f t="shared" si="12"/>
        <v>0.58563597497778197</v>
      </c>
      <c r="AA42" s="1">
        <f t="shared" si="13"/>
        <v>6.5070663886420216E-2</v>
      </c>
    </row>
    <row r="43" spans="1:27" ht="15" x14ac:dyDescent="0.2">
      <c r="A43" s="5" t="s">
        <v>88</v>
      </c>
      <c r="B43" s="5" t="s">
        <v>89</v>
      </c>
      <c r="C43" s="5" t="s">
        <v>90</v>
      </c>
      <c r="D43" s="5" t="s">
        <v>91</v>
      </c>
      <c r="O43" s="5" t="s">
        <v>159</v>
      </c>
      <c r="P43" s="19">
        <f t="shared" ref="P43:X43" si="15">P26/SUM(P$24:P$32)</f>
        <v>5.8139534883720929E-2</v>
      </c>
      <c r="Q43" s="19">
        <f t="shared" si="15"/>
        <v>5.8139534883720929E-2</v>
      </c>
      <c r="R43" s="19">
        <f t="shared" si="15"/>
        <v>5.8139534883720929E-2</v>
      </c>
      <c r="S43" s="19">
        <f t="shared" si="15"/>
        <v>2.7027027027027025E-2</v>
      </c>
      <c r="T43" s="19">
        <f t="shared" si="15"/>
        <v>0.12195121951219512</v>
      </c>
      <c r="U43" s="19">
        <f t="shared" si="15"/>
        <v>7.0422535211267609E-2</v>
      </c>
      <c r="V43" s="19">
        <f t="shared" si="15"/>
        <v>6.8493150684931503E-2</v>
      </c>
      <c r="W43" s="19">
        <f t="shared" si="15"/>
        <v>6.8493150684931503E-2</v>
      </c>
      <c r="X43" s="19">
        <f t="shared" si="15"/>
        <v>5.4830287206266322E-2</v>
      </c>
      <c r="Z43" s="19">
        <f t="shared" si="12"/>
        <v>0.58563597497778197</v>
      </c>
      <c r="AA43" s="1">
        <f t="shared" si="13"/>
        <v>6.5070663886420216E-2</v>
      </c>
    </row>
    <row r="44" spans="1:27" ht="15" x14ac:dyDescent="0.2">
      <c r="A44" s="5" t="s">
        <v>92</v>
      </c>
      <c r="B44" s="5" t="s">
        <v>80</v>
      </c>
      <c r="C44" s="5" t="s">
        <v>93</v>
      </c>
      <c r="D44" s="5" t="s">
        <v>94</v>
      </c>
      <c r="O44" s="5" t="s">
        <v>160</v>
      </c>
      <c r="P44" s="19">
        <f t="shared" ref="P44:X44" si="16">P27/SUM(P$24:P$32)</f>
        <v>0.1744186046511628</v>
      </c>
      <c r="Q44" s="19">
        <f t="shared" si="16"/>
        <v>0.1744186046511628</v>
      </c>
      <c r="R44" s="19">
        <f t="shared" si="16"/>
        <v>0.1744186046511628</v>
      </c>
      <c r="S44" s="19">
        <f t="shared" si="16"/>
        <v>8.1081081081081072E-2</v>
      </c>
      <c r="T44" s="19">
        <f t="shared" si="16"/>
        <v>7.3170731707317069E-2</v>
      </c>
      <c r="U44" s="19">
        <f t="shared" si="16"/>
        <v>7.0422535211267609E-2</v>
      </c>
      <c r="V44" s="19">
        <f t="shared" si="16"/>
        <v>6.8493150684931503E-2</v>
      </c>
      <c r="W44" s="19">
        <f t="shared" si="16"/>
        <v>6.8493150684931503E-2</v>
      </c>
      <c r="X44" s="19">
        <f t="shared" si="16"/>
        <v>7.3107049608355096E-2</v>
      </c>
      <c r="Z44" s="19">
        <f t="shared" si="12"/>
        <v>0.95802351293137222</v>
      </c>
      <c r="AA44" s="1">
        <f t="shared" si="13"/>
        <v>0.10644705699237469</v>
      </c>
    </row>
    <row r="45" spans="1:27" ht="15" x14ac:dyDescent="0.2">
      <c r="A45" s="5" t="s">
        <v>95</v>
      </c>
      <c r="B45" s="7">
        <v>2600</v>
      </c>
      <c r="C45" s="5" t="s">
        <v>96</v>
      </c>
      <c r="D45" s="5" t="s">
        <v>97</v>
      </c>
      <c r="O45" s="5" t="s">
        <v>161</v>
      </c>
      <c r="P45" s="19">
        <f t="shared" ref="P45:X45" si="17">P28/SUM(P$24:P$32)</f>
        <v>1.1627906976744188E-2</v>
      </c>
      <c r="Q45" s="19">
        <f t="shared" si="17"/>
        <v>1.1627906976744188E-2</v>
      </c>
      <c r="R45" s="19">
        <f t="shared" si="17"/>
        <v>1.1627906976744188E-2</v>
      </c>
      <c r="S45" s="19">
        <f t="shared" si="17"/>
        <v>2.7027027027027025E-2</v>
      </c>
      <c r="T45" s="19">
        <f t="shared" si="17"/>
        <v>2.4390243902439025E-2</v>
      </c>
      <c r="U45" s="19">
        <f t="shared" si="17"/>
        <v>1.4084507042253523E-2</v>
      </c>
      <c r="V45" s="19">
        <f t="shared" si="17"/>
        <v>4.1095890410958909E-2</v>
      </c>
      <c r="W45" s="19">
        <f t="shared" si="17"/>
        <v>4.1095890410958909E-2</v>
      </c>
      <c r="X45" s="19">
        <f t="shared" si="17"/>
        <v>3.1331592689295036E-2</v>
      </c>
      <c r="Z45" s="19">
        <f t="shared" si="12"/>
        <v>0.21390887241316497</v>
      </c>
      <c r="AA45" s="1">
        <f t="shared" si="13"/>
        <v>2.3767652490351662E-2</v>
      </c>
    </row>
    <row r="46" spans="1:27" ht="15" x14ac:dyDescent="0.2">
      <c r="A46" s="5" t="s">
        <v>98</v>
      </c>
      <c r="B46" s="5" t="s">
        <v>99</v>
      </c>
      <c r="C46" s="5" t="s">
        <v>100</v>
      </c>
      <c r="D46" s="5" t="s">
        <v>100</v>
      </c>
      <c r="O46" s="5" t="s">
        <v>162</v>
      </c>
      <c r="P46" s="19">
        <f t="shared" ref="P46:X46" si="18">P29/SUM(P$24:P$32)</f>
        <v>5.8139534883720929E-2</v>
      </c>
      <c r="Q46" s="19">
        <f t="shared" si="18"/>
        <v>5.8139534883720929E-2</v>
      </c>
      <c r="R46" s="19">
        <f t="shared" si="18"/>
        <v>5.8139534883720929E-2</v>
      </c>
      <c r="S46" s="19">
        <f t="shared" si="18"/>
        <v>8.1081081081081072E-2</v>
      </c>
      <c r="T46" s="19">
        <f t="shared" si="18"/>
        <v>0.12195121951219512</v>
      </c>
      <c r="U46" s="19">
        <f t="shared" si="18"/>
        <v>7.0422535211267609E-2</v>
      </c>
      <c r="V46" s="19">
        <f t="shared" si="18"/>
        <v>6.8493150684931503E-2</v>
      </c>
      <c r="W46" s="19">
        <f t="shared" si="18"/>
        <v>6.8493150684931503E-2</v>
      </c>
      <c r="X46" s="19">
        <f t="shared" si="18"/>
        <v>7.3107049608355096E-2</v>
      </c>
      <c r="Z46" s="19">
        <f t="shared" si="12"/>
        <v>0.65796679143392478</v>
      </c>
      <c r="AA46" s="1">
        <f t="shared" si="13"/>
        <v>7.3107421270436082E-2</v>
      </c>
    </row>
    <row r="47" spans="1:27" ht="15" x14ac:dyDescent="0.2">
      <c r="A47" s="5" t="s">
        <v>101</v>
      </c>
      <c r="B47" s="5" t="s">
        <v>102</v>
      </c>
      <c r="C47" s="5" t="s">
        <v>103</v>
      </c>
      <c r="D47" s="5" t="s">
        <v>103</v>
      </c>
      <c r="O47" s="5" t="s">
        <v>163</v>
      </c>
      <c r="P47" s="19">
        <f t="shared" ref="P47:X47" si="19">P30/SUM(P$24:P$32)</f>
        <v>0.1744186046511628</v>
      </c>
      <c r="Q47" s="19">
        <f t="shared" si="19"/>
        <v>0.1744186046511628</v>
      </c>
      <c r="R47" s="19">
        <f t="shared" si="19"/>
        <v>0.1744186046511628</v>
      </c>
      <c r="S47" s="19">
        <f t="shared" si="19"/>
        <v>0.24324324324324323</v>
      </c>
      <c r="T47" s="19">
        <f t="shared" si="19"/>
        <v>0.12195121951219512</v>
      </c>
      <c r="U47" s="19">
        <f t="shared" si="19"/>
        <v>0.21126760563380284</v>
      </c>
      <c r="V47" s="19">
        <f t="shared" si="19"/>
        <v>0.20547945205479454</v>
      </c>
      <c r="W47" s="19">
        <f t="shared" si="19"/>
        <v>0.20547945205479454</v>
      </c>
      <c r="X47" s="19">
        <f t="shared" si="19"/>
        <v>0.21932114882506529</v>
      </c>
      <c r="Z47" s="19">
        <f t="shared" si="12"/>
        <v>1.7299979352773838</v>
      </c>
      <c r="AA47" s="1">
        <f t="shared" si="13"/>
        <v>0.1922219928085982</v>
      </c>
    </row>
    <row r="48" spans="1:27" ht="15" x14ac:dyDescent="0.2">
      <c r="A48" s="5" t="s">
        <v>104</v>
      </c>
      <c r="B48" s="20"/>
      <c r="C48" s="20"/>
      <c r="D48" s="20"/>
      <c r="O48" s="5" t="s">
        <v>164</v>
      </c>
      <c r="P48" s="19">
        <f t="shared" ref="P48:X48" si="20">P31/SUM(P$24:P$32)</f>
        <v>0.1744186046511628</v>
      </c>
      <c r="Q48" s="19">
        <f t="shared" si="20"/>
        <v>0.1744186046511628</v>
      </c>
      <c r="R48" s="19">
        <f t="shared" si="20"/>
        <v>0.1744186046511628</v>
      </c>
      <c r="S48" s="19">
        <f t="shared" si="20"/>
        <v>0.24324324324324323</v>
      </c>
      <c r="T48" s="19">
        <f t="shared" si="20"/>
        <v>0.12195121951219512</v>
      </c>
      <c r="U48" s="19">
        <f t="shared" si="20"/>
        <v>0.21126760563380284</v>
      </c>
      <c r="V48" s="19">
        <f t="shared" si="20"/>
        <v>0.20547945205479454</v>
      </c>
      <c r="W48" s="19">
        <f t="shared" si="20"/>
        <v>0.20547945205479454</v>
      </c>
      <c r="X48" s="19">
        <f t="shared" si="20"/>
        <v>0.21932114882506529</v>
      </c>
      <c r="Z48" s="19">
        <f t="shared" si="12"/>
        <v>1.7299979352773838</v>
      </c>
      <c r="AA48" s="1">
        <f t="shared" si="13"/>
        <v>0.1922219928085982</v>
      </c>
    </row>
    <row r="49" spans="1:27" ht="15" x14ac:dyDescent="0.2">
      <c r="A49" s="5" t="s">
        <v>105</v>
      </c>
      <c r="B49" s="5" t="s">
        <v>106</v>
      </c>
      <c r="C49" s="5" t="s">
        <v>106</v>
      </c>
      <c r="D49" s="5" t="s">
        <v>106</v>
      </c>
      <c r="O49" s="5" t="s">
        <v>165</v>
      </c>
      <c r="P49" s="19">
        <f t="shared" ref="P49:X49" si="21">P32/SUM(P$24:P$32)</f>
        <v>0.23255813953488372</v>
      </c>
      <c r="Q49" s="19">
        <f t="shared" si="21"/>
        <v>0.23255813953488372</v>
      </c>
      <c r="R49" s="19">
        <f t="shared" si="21"/>
        <v>0.23255813953488372</v>
      </c>
      <c r="S49" s="19">
        <f t="shared" si="21"/>
        <v>0.24324324324324323</v>
      </c>
      <c r="T49" s="19">
        <f t="shared" si="21"/>
        <v>0.17073170731707318</v>
      </c>
      <c r="U49" s="19">
        <f t="shared" si="21"/>
        <v>0.21126760563380284</v>
      </c>
      <c r="V49" s="19">
        <f t="shared" si="21"/>
        <v>0.20547945205479454</v>
      </c>
      <c r="W49" s="19">
        <f t="shared" si="21"/>
        <v>0.20547945205479454</v>
      </c>
      <c r="X49" s="19">
        <f t="shared" si="21"/>
        <v>0.21932114882506529</v>
      </c>
      <c r="Z49" s="19">
        <f t="shared" si="12"/>
        <v>1.9531970277334245</v>
      </c>
      <c r="AA49" s="1">
        <f t="shared" si="13"/>
        <v>0.21702189197038049</v>
      </c>
    </row>
    <row r="50" spans="1:27" ht="15" x14ac:dyDescent="0.2">
      <c r="A50" s="5" t="s">
        <v>107</v>
      </c>
      <c r="B50" s="20"/>
      <c r="C50" s="20"/>
      <c r="D50" s="20"/>
      <c r="P50" s="19"/>
      <c r="Q50" s="19"/>
      <c r="R50" s="19"/>
      <c r="S50" s="19"/>
      <c r="T50" s="19"/>
      <c r="U50" s="19"/>
      <c r="V50" s="19"/>
      <c r="W50" s="19"/>
      <c r="X50" s="19"/>
      <c r="Z50" s="21"/>
      <c r="AA50" s="21"/>
    </row>
    <row r="51" spans="1:27" ht="15" x14ac:dyDescent="0.2">
      <c r="A51" s="5" t="s">
        <v>108</v>
      </c>
      <c r="B51" s="5" t="s">
        <v>109</v>
      </c>
      <c r="C51" s="5" t="s">
        <v>109</v>
      </c>
      <c r="D51" s="5" t="s">
        <v>109</v>
      </c>
      <c r="P51" s="11"/>
      <c r="Q51" s="11"/>
      <c r="R51" s="11"/>
      <c r="S51" s="11"/>
      <c r="T51" s="11"/>
      <c r="U51" s="11"/>
      <c r="V51" s="11"/>
      <c r="W51" s="11"/>
      <c r="X51" s="11"/>
    </row>
    <row r="52" spans="1:27" ht="15" x14ac:dyDescent="0.2">
      <c r="A52" s="5" t="s">
        <v>110</v>
      </c>
      <c r="B52" s="5" t="s">
        <v>111</v>
      </c>
      <c r="C52" s="5" t="s">
        <v>111</v>
      </c>
      <c r="D52" s="5" t="s">
        <v>111</v>
      </c>
      <c r="P52" s="11"/>
      <c r="Q52" s="11"/>
      <c r="R52" s="11"/>
      <c r="S52" s="11"/>
      <c r="T52" s="11"/>
      <c r="U52" s="11"/>
      <c r="V52" s="11"/>
      <c r="W52" s="11"/>
      <c r="X52" s="11"/>
    </row>
    <row r="53" spans="1:27" ht="15" x14ac:dyDescent="0.2">
      <c r="A53" s="5" t="s">
        <v>112</v>
      </c>
      <c r="B53" s="5" t="s">
        <v>113</v>
      </c>
      <c r="C53" s="5" t="s">
        <v>114</v>
      </c>
      <c r="D53" s="5" t="s">
        <v>114</v>
      </c>
      <c r="O53" s="12"/>
      <c r="P53" s="11"/>
      <c r="Q53" s="11"/>
      <c r="R53" s="11"/>
      <c r="S53" s="11"/>
      <c r="T53" s="11"/>
      <c r="U53" s="11"/>
      <c r="V53" s="11"/>
      <c r="W53" s="11"/>
      <c r="X53" s="11"/>
    </row>
    <row r="54" spans="1:27" ht="15" x14ac:dyDescent="0.2">
      <c r="A54" s="5" t="s">
        <v>115</v>
      </c>
      <c r="B54" s="5" t="s">
        <v>116</v>
      </c>
      <c r="C54" s="5" t="s">
        <v>117</v>
      </c>
      <c r="D54" s="5" t="s">
        <v>117</v>
      </c>
    </row>
    <row r="55" spans="1:27" ht="75.75" thickBot="1" x14ac:dyDescent="0.25">
      <c r="A55" s="3" t="s">
        <v>118</v>
      </c>
      <c r="B55" s="6" t="s">
        <v>119</v>
      </c>
      <c r="C55" s="6" t="s">
        <v>120</v>
      </c>
      <c r="D55" s="6" t="s">
        <v>120</v>
      </c>
      <c r="O55" s="5"/>
      <c r="P55" s="13"/>
      <c r="Q55" s="13"/>
      <c r="R55" s="13"/>
      <c r="S55" s="13"/>
      <c r="T55" s="13"/>
      <c r="U55" s="13"/>
      <c r="V55" s="13"/>
      <c r="W55" s="13"/>
      <c r="X55" s="13"/>
    </row>
  </sheetData>
  <mergeCells count="1">
    <mergeCell ref="A2:A3"/>
  </mergeCells>
  <phoneticPr fontId="3" type="noConversion"/>
  <pageMargins left="0.511811024" right="0.511811024" top="0.78740157499999996" bottom="0.78740157499999996" header="0.31496062000000002" footer="0.3149606200000000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860CC5-E0A1-4106-86AF-AFDB1B50A456}">
  <sheetPr codeName="Sheet2"/>
  <dimension ref="A1:AC77"/>
  <sheetViews>
    <sheetView showGridLines="0" topLeftCell="A39" workbookViewId="0">
      <selection activeCell="B51" sqref="B51:B52"/>
    </sheetView>
  </sheetViews>
  <sheetFormatPr defaultColWidth="8.85546875" defaultRowHeight="12.75" x14ac:dyDescent="0.2"/>
  <cols>
    <col min="1" max="1" width="3.42578125" style="1" customWidth="1"/>
    <col min="2" max="2" width="15.5703125" style="1" customWidth="1"/>
    <col min="3" max="11" width="8.85546875" style="1" customWidth="1"/>
    <col min="12" max="13" width="2" style="1" customWidth="1"/>
    <col min="14" max="14" width="8.85546875" style="1" customWidth="1"/>
    <col min="15" max="15" width="2" style="1" customWidth="1"/>
    <col min="16" max="16" width="8.85546875" style="1" customWidth="1"/>
    <col min="17" max="17" width="2" style="1" customWidth="1"/>
    <col min="18" max="18" width="8.85546875" style="1" customWidth="1"/>
    <col min="19" max="19" width="2" style="1" customWidth="1"/>
    <col min="20" max="16384" width="8.85546875" style="1"/>
  </cols>
  <sheetData>
    <row r="1" spans="1:28" ht="18.75" x14ac:dyDescent="0.3">
      <c r="A1" s="26" t="s">
        <v>181</v>
      </c>
      <c r="C1" s="44"/>
      <c r="D1" s="44"/>
      <c r="E1" s="44"/>
      <c r="F1" s="44"/>
      <c r="G1" s="44"/>
      <c r="H1" s="44"/>
      <c r="I1" s="44"/>
      <c r="J1" s="44"/>
      <c r="K1" s="46"/>
    </row>
    <row r="2" spans="1:28" ht="18.75" x14ac:dyDescent="0.3">
      <c r="A2" s="26"/>
      <c r="C2" s="44"/>
      <c r="D2" s="44"/>
      <c r="E2" s="44"/>
      <c r="F2" s="44"/>
      <c r="G2" s="44"/>
      <c r="H2" s="44"/>
      <c r="I2" s="44"/>
      <c r="J2" s="44"/>
      <c r="K2" s="46"/>
    </row>
    <row r="3" spans="1:28" ht="18.75" x14ac:dyDescent="0.3">
      <c r="A3" s="26"/>
      <c r="B3" s="40" t="s">
        <v>183</v>
      </c>
      <c r="C3" s="45"/>
      <c r="D3" s="52">
        <v>3</v>
      </c>
      <c r="E3" s="44"/>
      <c r="F3" s="44"/>
      <c r="G3" s="44"/>
      <c r="H3" s="44"/>
      <c r="I3" s="44"/>
      <c r="J3" s="44"/>
      <c r="K3" s="46"/>
    </row>
    <row r="4" spans="1:28" ht="18.75" x14ac:dyDescent="0.3">
      <c r="A4" s="26"/>
      <c r="B4" s="40" t="s">
        <v>184</v>
      </c>
      <c r="C4" s="43"/>
      <c r="D4" s="39">
        <v>9</v>
      </c>
      <c r="E4" s="46"/>
      <c r="F4" s="46"/>
      <c r="G4" s="46"/>
      <c r="H4" s="46"/>
      <c r="I4" s="46"/>
      <c r="J4" s="46"/>
      <c r="K4" s="46"/>
    </row>
    <row r="6" spans="1:28" x14ac:dyDescent="0.2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</row>
    <row r="7" spans="1:28" ht="15" x14ac:dyDescent="0.25">
      <c r="A7"/>
      <c r="B7" s="47" t="s">
        <v>180</v>
      </c>
      <c r="C7" s="48" t="s">
        <v>156</v>
      </c>
      <c r="D7" s="48" t="s">
        <v>156</v>
      </c>
      <c r="E7" s="48" t="s">
        <v>156</v>
      </c>
      <c r="F7" s="48" t="s">
        <v>155</v>
      </c>
      <c r="G7" s="48" t="s">
        <v>156</v>
      </c>
      <c r="H7" s="48" t="s">
        <v>156</v>
      </c>
      <c r="I7" s="48" t="s">
        <v>155</v>
      </c>
      <c r="J7" s="48" t="s">
        <v>155</v>
      </c>
      <c r="K7" s="48" t="s">
        <v>155</v>
      </c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</row>
    <row r="8" spans="1:28" ht="15" x14ac:dyDescent="0.2">
      <c r="A8"/>
      <c r="B8"/>
      <c r="C8" s="51" t="s">
        <v>157</v>
      </c>
      <c r="D8" s="51" t="s">
        <v>158</v>
      </c>
      <c r="E8" s="51" t="s">
        <v>159</v>
      </c>
      <c r="F8" s="51" t="s">
        <v>160</v>
      </c>
      <c r="G8" s="51" t="s">
        <v>161</v>
      </c>
      <c r="H8" s="51" t="s">
        <v>162</v>
      </c>
      <c r="I8" s="51" t="s">
        <v>163</v>
      </c>
      <c r="J8" s="51" t="s">
        <v>164</v>
      </c>
      <c r="K8" s="51" t="s">
        <v>165</v>
      </c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</row>
    <row r="9" spans="1:28" ht="15" x14ac:dyDescent="0.2">
      <c r="A9"/>
      <c r="B9" s="50" t="s">
        <v>171</v>
      </c>
      <c r="C9" s="49">
        <v>4000</v>
      </c>
      <c r="D9" s="49">
        <v>11</v>
      </c>
      <c r="E9" s="49">
        <v>30</v>
      </c>
      <c r="F9" s="49">
        <v>25</v>
      </c>
      <c r="G9" s="49">
        <v>1</v>
      </c>
      <c r="H9" s="49">
        <v>0</v>
      </c>
      <c r="I9" s="49">
        <v>290000000</v>
      </c>
      <c r="J9" s="49">
        <v>592000000</v>
      </c>
      <c r="K9" s="49">
        <v>6</v>
      </c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</row>
    <row r="10" spans="1:28" ht="15" x14ac:dyDescent="0.2">
      <c r="A10"/>
      <c r="B10" s="50" t="s">
        <v>172</v>
      </c>
      <c r="C10" s="49">
        <v>9330</v>
      </c>
      <c r="D10" s="49">
        <v>26</v>
      </c>
      <c r="E10" s="49">
        <v>25</v>
      </c>
      <c r="F10" s="49">
        <v>25</v>
      </c>
      <c r="G10" s="49">
        <v>2</v>
      </c>
      <c r="H10" s="49">
        <v>1</v>
      </c>
      <c r="I10" s="49">
        <v>310000000</v>
      </c>
      <c r="J10" s="49">
        <v>633000000</v>
      </c>
      <c r="K10" s="49">
        <v>8</v>
      </c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</row>
    <row r="11" spans="1:28" ht="15" x14ac:dyDescent="0.2">
      <c r="A11"/>
      <c r="B11" s="50" t="s">
        <v>173</v>
      </c>
      <c r="C11" s="49">
        <v>10660</v>
      </c>
      <c r="D11" s="49">
        <v>30</v>
      </c>
      <c r="E11" s="49">
        <v>35</v>
      </c>
      <c r="F11" s="49">
        <v>120</v>
      </c>
      <c r="G11" s="49">
        <v>2</v>
      </c>
      <c r="H11" s="49">
        <v>1</v>
      </c>
      <c r="I11" s="49">
        <v>310000000</v>
      </c>
      <c r="J11" s="49">
        <v>633000000</v>
      </c>
      <c r="K11" s="49">
        <v>8</v>
      </c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</row>
    <row r="12" spans="1:28" x14ac:dyDescent="0.2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</row>
    <row r="13" spans="1:28" x14ac:dyDescent="0.2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</row>
    <row r="14" spans="1:28" ht="15" x14ac:dyDescent="0.2">
      <c r="A14"/>
      <c r="B14"/>
      <c r="C14" s="51" t="s">
        <v>157</v>
      </c>
      <c r="D14" s="51" t="s">
        <v>158</v>
      </c>
      <c r="E14" s="51" t="s">
        <v>159</v>
      </c>
      <c r="F14" s="51" t="s">
        <v>160</v>
      </c>
      <c r="G14" s="51" t="s">
        <v>161</v>
      </c>
      <c r="H14" s="51" t="s">
        <v>162</v>
      </c>
      <c r="I14" s="51" t="s">
        <v>163</v>
      </c>
      <c r="J14" s="51" t="s">
        <v>164</v>
      </c>
      <c r="K14" s="51" t="s">
        <v>165</v>
      </c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</row>
    <row r="15" spans="1:28" ht="15" x14ac:dyDescent="0.2">
      <c r="A15"/>
      <c r="B15" s="50" t="s">
        <v>157</v>
      </c>
      <c r="C15" s="53">
        <v>1</v>
      </c>
      <c r="D15" s="49">
        <v>1</v>
      </c>
      <c r="E15" s="49">
        <v>1</v>
      </c>
      <c r="F15" s="49">
        <v>0.33333333333333331</v>
      </c>
      <c r="G15" s="49">
        <v>5</v>
      </c>
      <c r="H15" s="49">
        <v>1</v>
      </c>
      <c r="I15" s="49">
        <v>0.33333333333333331</v>
      </c>
      <c r="J15" s="49">
        <v>0.33333333333333331</v>
      </c>
      <c r="K15" s="49">
        <v>0.25</v>
      </c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</row>
    <row r="16" spans="1:28" ht="15" x14ac:dyDescent="0.2">
      <c r="A16"/>
      <c r="B16" s="50" t="s">
        <v>158</v>
      </c>
      <c r="C16" s="53">
        <v>1</v>
      </c>
      <c r="D16" s="53">
        <v>1</v>
      </c>
      <c r="E16" s="49">
        <v>1</v>
      </c>
      <c r="F16" s="49">
        <v>0.33333333333333331</v>
      </c>
      <c r="G16" s="49">
        <v>5</v>
      </c>
      <c r="H16" s="49">
        <v>1</v>
      </c>
      <c r="I16" s="49">
        <v>0.33333333333333331</v>
      </c>
      <c r="J16" s="49">
        <v>0.33333333333333331</v>
      </c>
      <c r="K16" s="49">
        <v>0.25</v>
      </c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</row>
    <row r="17" spans="1:29" ht="15" x14ac:dyDescent="0.2">
      <c r="A17"/>
      <c r="B17" s="50" t="s">
        <v>159</v>
      </c>
      <c r="C17" s="53">
        <v>1</v>
      </c>
      <c r="D17" s="53">
        <v>1</v>
      </c>
      <c r="E17" s="53">
        <v>1</v>
      </c>
      <c r="F17" s="49">
        <v>0.33333333333333331</v>
      </c>
      <c r="G17" s="49">
        <v>5</v>
      </c>
      <c r="H17" s="49">
        <v>1</v>
      </c>
      <c r="I17" s="49">
        <v>0.33333333333333331</v>
      </c>
      <c r="J17" s="49">
        <v>0.33333333333333331</v>
      </c>
      <c r="K17" s="49">
        <v>0.25</v>
      </c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</row>
    <row r="18" spans="1:29" ht="15" x14ac:dyDescent="0.2">
      <c r="A18"/>
      <c r="B18" s="50" t="s">
        <v>160</v>
      </c>
      <c r="C18" s="53">
        <v>3</v>
      </c>
      <c r="D18" s="53">
        <v>3</v>
      </c>
      <c r="E18" s="53">
        <v>3</v>
      </c>
      <c r="F18" s="53">
        <v>1</v>
      </c>
      <c r="G18" s="49">
        <v>3</v>
      </c>
      <c r="H18" s="49">
        <v>1</v>
      </c>
      <c r="I18" s="49">
        <v>0.33333333333333331</v>
      </c>
      <c r="J18" s="49">
        <v>0.33333333333333331</v>
      </c>
      <c r="K18" s="49">
        <v>0.33333333333333331</v>
      </c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</row>
    <row r="19" spans="1:29" ht="15" x14ac:dyDescent="0.2">
      <c r="A19"/>
      <c r="B19" s="50" t="s">
        <v>161</v>
      </c>
      <c r="C19" s="53">
        <v>0.2</v>
      </c>
      <c r="D19" s="53">
        <v>0.2</v>
      </c>
      <c r="E19" s="53">
        <v>0.2</v>
      </c>
      <c r="F19" s="53">
        <v>0.33333333333333331</v>
      </c>
      <c r="G19" s="53">
        <v>1</v>
      </c>
      <c r="H19" s="49">
        <v>0.2</v>
      </c>
      <c r="I19" s="49">
        <v>0.2</v>
      </c>
      <c r="J19" s="49">
        <v>0.2</v>
      </c>
      <c r="K19" s="49">
        <v>0.14285714285714285</v>
      </c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</row>
    <row r="20" spans="1:29" ht="15" x14ac:dyDescent="0.2">
      <c r="A20"/>
      <c r="B20" s="50" t="s">
        <v>162</v>
      </c>
      <c r="C20" s="53">
        <v>1</v>
      </c>
      <c r="D20" s="53">
        <v>1</v>
      </c>
      <c r="E20" s="53">
        <v>1</v>
      </c>
      <c r="F20" s="53">
        <v>1</v>
      </c>
      <c r="G20" s="53">
        <v>5</v>
      </c>
      <c r="H20" s="53">
        <v>1</v>
      </c>
      <c r="I20" s="49">
        <v>0.33333333333333331</v>
      </c>
      <c r="J20" s="49">
        <v>0.33333333333333331</v>
      </c>
      <c r="K20" s="49">
        <v>0.33333333333333331</v>
      </c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</row>
    <row r="21" spans="1:29" ht="15" x14ac:dyDescent="0.2">
      <c r="A21"/>
      <c r="B21" s="50" t="s">
        <v>163</v>
      </c>
      <c r="C21" s="53">
        <v>3</v>
      </c>
      <c r="D21" s="53">
        <v>3</v>
      </c>
      <c r="E21" s="53">
        <v>3</v>
      </c>
      <c r="F21" s="53">
        <v>3</v>
      </c>
      <c r="G21" s="53">
        <v>5</v>
      </c>
      <c r="H21" s="53">
        <v>3</v>
      </c>
      <c r="I21" s="53">
        <v>1</v>
      </c>
      <c r="J21" s="49">
        <v>1</v>
      </c>
      <c r="K21" s="49">
        <v>1</v>
      </c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</row>
    <row r="22" spans="1:29" ht="15" x14ac:dyDescent="0.2">
      <c r="A22"/>
      <c r="B22" s="50" t="s">
        <v>164</v>
      </c>
      <c r="C22" s="53">
        <v>3</v>
      </c>
      <c r="D22" s="53">
        <v>3</v>
      </c>
      <c r="E22" s="53">
        <v>3</v>
      </c>
      <c r="F22" s="53">
        <v>3</v>
      </c>
      <c r="G22" s="53">
        <v>5</v>
      </c>
      <c r="H22" s="53">
        <v>3</v>
      </c>
      <c r="I22" s="53">
        <v>1</v>
      </c>
      <c r="J22" s="53">
        <v>1</v>
      </c>
      <c r="K22" s="49">
        <v>1</v>
      </c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</row>
    <row r="23" spans="1:29" ht="15" x14ac:dyDescent="0.2">
      <c r="A23"/>
      <c r="B23" s="50" t="s">
        <v>165</v>
      </c>
      <c r="C23" s="53">
        <f t="shared" ref="C23:K23" si="0">IFERROR(IF($B23=C$14,1,1/INDEX($C$15:$K$23,MATCH(C$14,$C$14:$K$14,0),MATCH($B23,$B$15:$B$23,0))),0)</f>
        <v>4</v>
      </c>
      <c r="D23" s="53">
        <f t="shared" si="0"/>
        <v>4</v>
      </c>
      <c r="E23" s="53">
        <f t="shared" si="0"/>
        <v>4</v>
      </c>
      <c r="F23" s="53">
        <f t="shared" si="0"/>
        <v>3</v>
      </c>
      <c r="G23" s="53">
        <f t="shared" si="0"/>
        <v>7</v>
      </c>
      <c r="H23" s="53">
        <f t="shared" si="0"/>
        <v>3</v>
      </c>
      <c r="I23" s="53">
        <f t="shared" si="0"/>
        <v>1</v>
      </c>
      <c r="J23" s="53">
        <f t="shared" si="0"/>
        <v>1</v>
      </c>
      <c r="K23" s="53">
        <f t="shared" si="0"/>
        <v>1</v>
      </c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</row>
    <row r="24" spans="1:29" x14ac:dyDescent="0.2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</row>
    <row r="25" spans="1:29" x14ac:dyDescent="0.2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</row>
    <row r="26" spans="1:29" ht="30" x14ac:dyDescent="0.2">
      <c r="A26"/>
      <c r="B26"/>
      <c r="C26" s="51" t="s">
        <v>157</v>
      </c>
      <c r="D26" s="51" t="s">
        <v>158</v>
      </c>
      <c r="E26" s="51" t="s">
        <v>159</v>
      </c>
      <c r="F26" s="51" t="s">
        <v>160</v>
      </c>
      <c r="G26" s="51" t="s">
        <v>161</v>
      </c>
      <c r="H26" s="51" t="s">
        <v>162</v>
      </c>
      <c r="I26" s="51" t="s">
        <v>163</v>
      </c>
      <c r="J26" s="51" t="s">
        <v>164</v>
      </c>
      <c r="K26" s="51" t="s">
        <v>165</v>
      </c>
      <c r="L26"/>
      <c r="M26"/>
      <c r="N26" s="51" t="s">
        <v>178</v>
      </c>
      <c r="O26"/>
      <c r="P26" s="51" t="s">
        <v>179</v>
      </c>
      <c r="Q26"/>
      <c r="R26"/>
      <c r="S26"/>
      <c r="T26"/>
      <c r="U26"/>
      <c r="V26"/>
      <c r="W26"/>
      <c r="X26"/>
      <c r="Y26"/>
      <c r="Z26"/>
      <c r="AA26"/>
      <c r="AB26"/>
    </row>
    <row r="27" spans="1:29" ht="15" x14ac:dyDescent="0.2">
      <c r="A27"/>
      <c r="B27" s="50" t="s">
        <v>157</v>
      </c>
      <c r="C27" s="35">
        <f t="shared" ref="C27:K27" si="1">C15/SUM(C$15:C$23)</f>
        <v>5.8139534883720929E-2</v>
      </c>
      <c r="D27" s="35">
        <f t="shared" si="1"/>
        <v>5.8139534883720929E-2</v>
      </c>
      <c r="E27" s="35">
        <f t="shared" si="1"/>
        <v>5.8139534883720929E-2</v>
      </c>
      <c r="F27" s="35">
        <f t="shared" si="1"/>
        <v>2.7027027027027025E-2</v>
      </c>
      <c r="G27" s="35">
        <f t="shared" si="1"/>
        <v>0.12195121951219512</v>
      </c>
      <c r="H27" s="35">
        <f t="shared" si="1"/>
        <v>7.0422535211267609E-2</v>
      </c>
      <c r="I27" s="35">
        <f t="shared" si="1"/>
        <v>6.8493150684931503E-2</v>
      </c>
      <c r="J27" s="35">
        <f t="shared" si="1"/>
        <v>6.8493150684931503E-2</v>
      </c>
      <c r="K27" s="35">
        <f t="shared" si="1"/>
        <v>5.4830287206266322E-2</v>
      </c>
      <c r="L27" s="54"/>
      <c r="M27" s="54"/>
      <c r="N27" s="35">
        <f t="shared" ref="N27:N35" si="2">SUM($C27:$K27)</f>
        <v>0.58563597497778197</v>
      </c>
      <c r="O27" s="54"/>
      <c r="P27" s="35">
        <f t="shared" ref="P27:P35" si="3">$N27/SUM($N$27:$N$35)</f>
        <v>6.5070663886420216E-2</v>
      </c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9"/>
    </row>
    <row r="28" spans="1:29" ht="15" x14ac:dyDescent="0.2">
      <c r="A28"/>
      <c r="B28" s="50" t="s">
        <v>158</v>
      </c>
      <c r="C28" s="35">
        <f t="shared" ref="C28:K28" si="4">C16/SUM(C$15:C$23)</f>
        <v>5.8139534883720929E-2</v>
      </c>
      <c r="D28" s="35">
        <f t="shared" si="4"/>
        <v>5.8139534883720929E-2</v>
      </c>
      <c r="E28" s="35">
        <f t="shared" si="4"/>
        <v>5.8139534883720929E-2</v>
      </c>
      <c r="F28" s="35">
        <f t="shared" si="4"/>
        <v>2.7027027027027025E-2</v>
      </c>
      <c r="G28" s="35">
        <f t="shared" si="4"/>
        <v>0.12195121951219512</v>
      </c>
      <c r="H28" s="35">
        <f t="shared" si="4"/>
        <v>7.0422535211267609E-2</v>
      </c>
      <c r="I28" s="35">
        <f t="shared" si="4"/>
        <v>6.8493150684931503E-2</v>
      </c>
      <c r="J28" s="35">
        <f t="shared" si="4"/>
        <v>6.8493150684931503E-2</v>
      </c>
      <c r="K28" s="35">
        <f t="shared" si="4"/>
        <v>5.4830287206266322E-2</v>
      </c>
      <c r="L28" s="54"/>
      <c r="M28" s="54"/>
      <c r="N28" s="35">
        <f t="shared" si="2"/>
        <v>0.58563597497778197</v>
      </c>
      <c r="O28" s="54"/>
      <c r="P28" s="35">
        <f t="shared" si="3"/>
        <v>6.5070663886420216E-2</v>
      </c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9"/>
    </row>
    <row r="29" spans="1:29" ht="15" x14ac:dyDescent="0.2">
      <c r="A29"/>
      <c r="B29" s="50" t="s">
        <v>159</v>
      </c>
      <c r="C29" s="35">
        <f t="shared" ref="C29:K29" si="5">C17/SUM(C$15:C$23)</f>
        <v>5.8139534883720929E-2</v>
      </c>
      <c r="D29" s="35">
        <f t="shared" si="5"/>
        <v>5.8139534883720929E-2</v>
      </c>
      <c r="E29" s="35">
        <f t="shared" si="5"/>
        <v>5.8139534883720929E-2</v>
      </c>
      <c r="F29" s="35">
        <f t="shared" si="5"/>
        <v>2.7027027027027025E-2</v>
      </c>
      <c r="G29" s="35">
        <f t="shared" si="5"/>
        <v>0.12195121951219512</v>
      </c>
      <c r="H29" s="35">
        <f t="shared" si="5"/>
        <v>7.0422535211267609E-2</v>
      </c>
      <c r="I29" s="35">
        <f t="shared" si="5"/>
        <v>6.8493150684931503E-2</v>
      </c>
      <c r="J29" s="35">
        <f t="shared" si="5"/>
        <v>6.8493150684931503E-2</v>
      </c>
      <c r="K29" s="35">
        <f t="shared" si="5"/>
        <v>5.4830287206266322E-2</v>
      </c>
      <c r="L29" s="54"/>
      <c r="M29" s="54"/>
      <c r="N29" s="35">
        <f t="shared" si="2"/>
        <v>0.58563597497778197</v>
      </c>
      <c r="O29" s="54"/>
      <c r="P29" s="35">
        <f t="shared" si="3"/>
        <v>6.5070663886420216E-2</v>
      </c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9"/>
    </row>
    <row r="30" spans="1:29" ht="15" x14ac:dyDescent="0.2">
      <c r="A30"/>
      <c r="B30" s="50" t="s">
        <v>160</v>
      </c>
      <c r="C30" s="35">
        <f t="shared" ref="C30:K30" si="6">C18/SUM(C$15:C$23)</f>
        <v>0.1744186046511628</v>
      </c>
      <c r="D30" s="35">
        <f t="shared" si="6"/>
        <v>0.1744186046511628</v>
      </c>
      <c r="E30" s="35">
        <f t="shared" si="6"/>
        <v>0.1744186046511628</v>
      </c>
      <c r="F30" s="35">
        <f t="shared" si="6"/>
        <v>8.1081081081081072E-2</v>
      </c>
      <c r="G30" s="35">
        <f t="shared" si="6"/>
        <v>7.3170731707317069E-2</v>
      </c>
      <c r="H30" s="35">
        <f t="shared" si="6"/>
        <v>7.0422535211267609E-2</v>
      </c>
      <c r="I30" s="35">
        <f t="shared" si="6"/>
        <v>6.8493150684931503E-2</v>
      </c>
      <c r="J30" s="35">
        <f t="shared" si="6"/>
        <v>6.8493150684931503E-2</v>
      </c>
      <c r="K30" s="35">
        <f t="shared" si="6"/>
        <v>7.3107049608355096E-2</v>
      </c>
      <c r="L30" s="54"/>
      <c r="M30" s="54"/>
      <c r="N30" s="35">
        <f t="shared" si="2"/>
        <v>0.95802351293137222</v>
      </c>
      <c r="O30" s="54"/>
      <c r="P30" s="35">
        <f t="shared" si="3"/>
        <v>0.10644705699237469</v>
      </c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9"/>
    </row>
    <row r="31" spans="1:29" ht="15" x14ac:dyDescent="0.2">
      <c r="A31"/>
      <c r="B31" s="50" t="s">
        <v>161</v>
      </c>
      <c r="C31" s="35">
        <f t="shared" ref="C31:K31" si="7">C19/SUM(C$15:C$23)</f>
        <v>1.1627906976744188E-2</v>
      </c>
      <c r="D31" s="35">
        <f t="shared" si="7"/>
        <v>1.1627906976744188E-2</v>
      </c>
      <c r="E31" s="35">
        <f t="shared" si="7"/>
        <v>1.1627906976744188E-2</v>
      </c>
      <c r="F31" s="35">
        <f t="shared" si="7"/>
        <v>2.7027027027027025E-2</v>
      </c>
      <c r="G31" s="35">
        <f t="shared" si="7"/>
        <v>2.4390243902439025E-2</v>
      </c>
      <c r="H31" s="35">
        <f t="shared" si="7"/>
        <v>1.4084507042253523E-2</v>
      </c>
      <c r="I31" s="35">
        <f t="shared" si="7"/>
        <v>4.1095890410958909E-2</v>
      </c>
      <c r="J31" s="35">
        <f t="shared" si="7"/>
        <v>4.1095890410958909E-2</v>
      </c>
      <c r="K31" s="35">
        <f t="shared" si="7"/>
        <v>3.1331592689295036E-2</v>
      </c>
      <c r="L31" s="54"/>
      <c r="M31" s="54"/>
      <c r="N31" s="35">
        <f t="shared" si="2"/>
        <v>0.21390887241316497</v>
      </c>
      <c r="O31" s="54"/>
      <c r="P31" s="35">
        <f t="shared" si="3"/>
        <v>2.3767652490351662E-2</v>
      </c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9"/>
    </row>
    <row r="32" spans="1:29" ht="15" x14ac:dyDescent="0.2">
      <c r="A32"/>
      <c r="B32" s="50" t="s">
        <v>162</v>
      </c>
      <c r="C32" s="35">
        <f t="shared" ref="C32:K32" si="8">C20/SUM(C$15:C$23)</f>
        <v>5.8139534883720929E-2</v>
      </c>
      <c r="D32" s="35">
        <f t="shared" si="8"/>
        <v>5.8139534883720929E-2</v>
      </c>
      <c r="E32" s="35">
        <f t="shared" si="8"/>
        <v>5.8139534883720929E-2</v>
      </c>
      <c r="F32" s="35">
        <f t="shared" si="8"/>
        <v>8.1081081081081072E-2</v>
      </c>
      <c r="G32" s="35">
        <f t="shared" si="8"/>
        <v>0.12195121951219512</v>
      </c>
      <c r="H32" s="35">
        <f t="shared" si="8"/>
        <v>7.0422535211267609E-2</v>
      </c>
      <c r="I32" s="35">
        <f t="shared" si="8"/>
        <v>6.8493150684931503E-2</v>
      </c>
      <c r="J32" s="35">
        <f t="shared" si="8"/>
        <v>6.8493150684931503E-2</v>
      </c>
      <c r="K32" s="35">
        <f t="shared" si="8"/>
        <v>7.3107049608355096E-2</v>
      </c>
      <c r="L32" s="54"/>
      <c r="M32" s="54"/>
      <c r="N32" s="35">
        <f t="shared" si="2"/>
        <v>0.65796679143392478</v>
      </c>
      <c r="O32" s="54"/>
      <c r="P32" s="35">
        <f t="shared" si="3"/>
        <v>7.3107421270436082E-2</v>
      </c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9"/>
    </row>
    <row r="33" spans="1:29" ht="15" x14ac:dyDescent="0.2">
      <c r="A33"/>
      <c r="B33" s="50" t="s">
        <v>163</v>
      </c>
      <c r="C33" s="35">
        <f t="shared" ref="C33:K33" si="9">C21/SUM(C$15:C$23)</f>
        <v>0.1744186046511628</v>
      </c>
      <c r="D33" s="35">
        <f t="shared" si="9"/>
        <v>0.1744186046511628</v>
      </c>
      <c r="E33" s="35">
        <f t="shared" si="9"/>
        <v>0.1744186046511628</v>
      </c>
      <c r="F33" s="35">
        <f t="shared" si="9"/>
        <v>0.24324324324324323</v>
      </c>
      <c r="G33" s="35">
        <f t="shared" si="9"/>
        <v>0.12195121951219512</v>
      </c>
      <c r="H33" s="35">
        <f t="shared" si="9"/>
        <v>0.21126760563380284</v>
      </c>
      <c r="I33" s="35">
        <f t="shared" si="9"/>
        <v>0.20547945205479454</v>
      </c>
      <c r="J33" s="35">
        <f t="shared" si="9"/>
        <v>0.20547945205479454</v>
      </c>
      <c r="K33" s="35">
        <f t="shared" si="9"/>
        <v>0.21932114882506529</v>
      </c>
      <c r="L33" s="54"/>
      <c r="M33" s="54"/>
      <c r="N33" s="35">
        <f t="shared" si="2"/>
        <v>1.7299979352773838</v>
      </c>
      <c r="O33" s="54"/>
      <c r="P33" s="35">
        <f t="shared" si="3"/>
        <v>0.1922219928085982</v>
      </c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9"/>
    </row>
    <row r="34" spans="1:29" ht="15" x14ac:dyDescent="0.2">
      <c r="A34"/>
      <c r="B34" s="50" t="s">
        <v>164</v>
      </c>
      <c r="C34" s="35">
        <f t="shared" ref="C34:K34" si="10">C22/SUM(C$15:C$23)</f>
        <v>0.1744186046511628</v>
      </c>
      <c r="D34" s="35">
        <f t="shared" si="10"/>
        <v>0.1744186046511628</v>
      </c>
      <c r="E34" s="35">
        <f t="shared" si="10"/>
        <v>0.1744186046511628</v>
      </c>
      <c r="F34" s="35">
        <f t="shared" si="10"/>
        <v>0.24324324324324323</v>
      </c>
      <c r="G34" s="35">
        <f t="shared" si="10"/>
        <v>0.12195121951219512</v>
      </c>
      <c r="H34" s="35">
        <f t="shared" si="10"/>
        <v>0.21126760563380284</v>
      </c>
      <c r="I34" s="35">
        <f t="shared" si="10"/>
        <v>0.20547945205479454</v>
      </c>
      <c r="J34" s="35">
        <f t="shared" si="10"/>
        <v>0.20547945205479454</v>
      </c>
      <c r="K34" s="35">
        <f t="shared" si="10"/>
        <v>0.21932114882506529</v>
      </c>
      <c r="L34" s="54"/>
      <c r="M34" s="54"/>
      <c r="N34" s="35">
        <f t="shared" si="2"/>
        <v>1.7299979352773838</v>
      </c>
      <c r="O34" s="54"/>
      <c r="P34" s="35">
        <f t="shared" si="3"/>
        <v>0.1922219928085982</v>
      </c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9"/>
    </row>
    <row r="35" spans="1:29" ht="15" x14ac:dyDescent="0.2">
      <c r="A35"/>
      <c r="B35" s="50" t="s">
        <v>165</v>
      </c>
      <c r="C35" s="35">
        <f t="shared" ref="C35:K35" si="11">C23/SUM(C$15:C$23)</f>
        <v>0.23255813953488372</v>
      </c>
      <c r="D35" s="35">
        <f t="shared" si="11"/>
        <v>0.23255813953488372</v>
      </c>
      <c r="E35" s="35">
        <f t="shared" si="11"/>
        <v>0.23255813953488372</v>
      </c>
      <c r="F35" s="35">
        <f t="shared" si="11"/>
        <v>0.24324324324324323</v>
      </c>
      <c r="G35" s="35">
        <f t="shared" si="11"/>
        <v>0.17073170731707318</v>
      </c>
      <c r="H35" s="35">
        <f t="shared" si="11"/>
        <v>0.21126760563380284</v>
      </c>
      <c r="I35" s="35">
        <f t="shared" si="11"/>
        <v>0.20547945205479454</v>
      </c>
      <c r="J35" s="35">
        <f t="shared" si="11"/>
        <v>0.20547945205479454</v>
      </c>
      <c r="K35" s="35">
        <f t="shared" si="11"/>
        <v>0.21932114882506529</v>
      </c>
      <c r="L35" s="54"/>
      <c r="M35" s="54"/>
      <c r="N35" s="35">
        <f t="shared" si="2"/>
        <v>1.9531970277334245</v>
      </c>
      <c r="O35" s="54"/>
      <c r="P35" s="35">
        <f t="shared" si="3"/>
        <v>0.21702189197038049</v>
      </c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9"/>
    </row>
    <row r="36" spans="1:29" x14ac:dyDescent="0.2">
      <c r="A36"/>
      <c r="B36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9"/>
    </row>
    <row r="37" spans="1:29" x14ac:dyDescent="0.2">
      <c r="A37"/>
      <c r="B37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9"/>
    </row>
    <row r="38" spans="1:29" ht="15" x14ac:dyDescent="0.2">
      <c r="A38"/>
      <c r="B38"/>
      <c r="C38" s="55" t="s">
        <v>157</v>
      </c>
      <c r="D38" s="55" t="s">
        <v>158</v>
      </c>
      <c r="E38" s="55" t="s">
        <v>159</v>
      </c>
      <c r="F38" s="55" t="s">
        <v>160</v>
      </c>
      <c r="G38" s="55" t="s">
        <v>161</v>
      </c>
      <c r="H38" s="55" t="s">
        <v>162</v>
      </c>
      <c r="I38" s="55" t="s">
        <v>163</v>
      </c>
      <c r="J38" s="55" t="s">
        <v>164</v>
      </c>
      <c r="K38" s="55" t="s">
        <v>165</v>
      </c>
      <c r="L38" s="54"/>
      <c r="M38" s="54"/>
      <c r="N38" s="55" t="s">
        <v>176</v>
      </c>
      <c r="O38" s="54"/>
      <c r="P38" s="55" t="s">
        <v>175</v>
      </c>
      <c r="Q38" s="54"/>
      <c r="R38" s="55" t="s">
        <v>174</v>
      </c>
      <c r="S38" s="54"/>
      <c r="T38" s="55" t="s">
        <v>175</v>
      </c>
      <c r="U38" s="54"/>
      <c r="V38" s="54"/>
      <c r="W38" s="54"/>
      <c r="X38" s="54"/>
      <c r="Y38" s="54"/>
      <c r="Z38" s="54"/>
      <c r="AA38" s="54"/>
      <c r="AB38" s="54"/>
      <c r="AC38" s="9"/>
    </row>
    <row r="39" spans="1:29" ht="15" x14ac:dyDescent="0.2">
      <c r="A39"/>
      <c r="B39" s="50" t="s">
        <v>171</v>
      </c>
      <c r="C39" s="35">
        <f t="shared" ref="C39:K39" si="12">IF(C$7="MAX",C9/SUM(C$9:C$11),(1/C9)/(SUM(INDEX(1/C$9:C$11,0))))</f>
        <v>0.16673614005835766</v>
      </c>
      <c r="D39" s="35">
        <f t="shared" si="12"/>
        <v>0.16417910447761194</v>
      </c>
      <c r="E39" s="35">
        <f t="shared" si="12"/>
        <v>0.33333333333333331</v>
      </c>
      <c r="F39" s="35">
        <f t="shared" si="12"/>
        <v>0.45283018867924529</v>
      </c>
      <c r="G39" s="35">
        <f t="shared" si="12"/>
        <v>0.2</v>
      </c>
      <c r="H39" s="35">
        <f t="shared" si="12"/>
        <v>0</v>
      </c>
      <c r="I39" s="35">
        <f t="shared" si="12"/>
        <v>0.348314606741573</v>
      </c>
      <c r="J39" s="35">
        <f t="shared" si="12"/>
        <v>0.34837644468904794</v>
      </c>
      <c r="K39" s="35">
        <f t="shared" si="12"/>
        <v>0.4</v>
      </c>
      <c r="L39" s="54"/>
      <c r="M39" s="54"/>
      <c r="N39" s="35">
        <f t="shared" ref="N39:N41" si="13">SUMPRODUCT($C39:$K39,$C$47:$K$47)</f>
        <v>0.20684330229022821</v>
      </c>
      <c r="O39" s="54"/>
      <c r="P39" s="35">
        <f t="shared" ref="P39:P41" si="14">RANK(N39,$N$39:$N$41)</f>
        <v>3</v>
      </c>
      <c r="Q39" s="54"/>
      <c r="R39" s="35">
        <f t="shared" ref="R39:R41" si="15">MMULT($C39:$K39,$P$27:$P$35)</f>
        <v>0.31690716641390748</v>
      </c>
      <c r="S39" s="54"/>
      <c r="T39" s="35">
        <f t="shared" ref="T39:T41" si="16">RANK($R39,($R$39:$R$41))</f>
        <v>3</v>
      </c>
      <c r="U39" s="54"/>
      <c r="V39" s="54"/>
      <c r="W39" s="54"/>
      <c r="X39" s="54"/>
      <c r="Y39" s="54"/>
      <c r="Z39" s="54"/>
      <c r="AA39" s="54"/>
      <c r="AB39" s="54"/>
      <c r="AC39" s="9"/>
    </row>
    <row r="40" spans="1:29" ht="15" x14ac:dyDescent="0.2">
      <c r="A40"/>
      <c r="B40" s="50" t="s">
        <v>172</v>
      </c>
      <c r="C40" s="35">
        <f t="shared" ref="C40:K40" si="17">IF(C$7="MAX",C10/SUM(C$9:C$11),(1/C10)/(SUM(INDEX(1/C$9:C$11,0))))</f>
        <v>0.38891204668611923</v>
      </c>
      <c r="D40" s="35">
        <f t="shared" si="17"/>
        <v>0.38805970149253732</v>
      </c>
      <c r="E40" s="35">
        <f t="shared" si="17"/>
        <v>0.27777777777777779</v>
      </c>
      <c r="F40" s="35">
        <f t="shared" si="17"/>
        <v>0.45283018867924529</v>
      </c>
      <c r="G40" s="35">
        <f t="shared" si="17"/>
        <v>0.4</v>
      </c>
      <c r="H40" s="35">
        <f t="shared" si="17"/>
        <v>0.5</v>
      </c>
      <c r="I40" s="35">
        <f t="shared" si="17"/>
        <v>0.32584269662921345</v>
      </c>
      <c r="J40" s="35">
        <f t="shared" si="17"/>
        <v>0.32581177765547609</v>
      </c>
      <c r="K40" s="35">
        <f t="shared" si="17"/>
        <v>0.30000000000000004</v>
      </c>
      <c r="L40" s="54"/>
      <c r="M40" s="54"/>
      <c r="N40" s="35">
        <f t="shared" si="13"/>
        <v>0.42091614403241628</v>
      </c>
      <c r="O40" s="54"/>
      <c r="P40" s="35">
        <f t="shared" si="14"/>
        <v>1</v>
      </c>
      <c r="Q40" s="54"/>
      <c r="R40" s="35">
        <f t="shared" si="15"/>
        <v>0.35326535368219486</v>
      </c>
      <c r="S40" s="54"/>
      <c r="T40" s="35">
        <f t="shared" si="16"/>
        <v>1</v>
      </c>
      <c r="U40" s="54"/>
      <c r="V40" s="54"/>
      <c r="W40" s="54"/>
      <c r="X40" s="54"/>
      <c r="Y40" s="54"/>
      <c r="Z40" s="54"/>
      <c r="AA40" s="54"/>
      <c r="AB40" s="54"/>
      <c r="AC40" s="9"/>
    </row>
    <row r="41" spans="1:29" ht="15" x14ac:dyDescent="0.2">
      <c r="A41"/>
      <c r="B41" s="50" t="s">
        <v>173</v>
      </c>
      <c r="C41" s="35">
        <f t="shared" ref="C41:K41" si="18">IF(C$7="MAX",C11/SUM(C$9:C$11),(1/C11)/(SUM(INDEX(1/C$9:C$11,0))))</f>
        <v>0.44435181325552314</v>
      </c>
      <c r="D41" s="35">
        <f t="shared" si="18"/>
        <v>0.44776119402985076</v>
      </c>
      <c r="E41" s="35">
        <f t="shared" si="18"/>
        <v>0.3888888888888889</v>
      </c>
      <c r="F41" s="35">
        <f t="shared" si="18"/>
        <v>9.4339622641509427E-2</v>
      </c>
      <c r="G41" s="35">
        <f t="shared" si="18"/>
        <v>0.4</v>
      </c>
      <c r="H41" s="35">
        <f t="shared" si="18"/>
        <v>0.5</v>
      </c>
      <c r="I41" s="35">
        <f t="shared" si="18"/>
        <v>0.32584269662921345</v>
      </c>
      <c r="J41" s="35">
        <f t="shared" si="18"/>
        <v>0.32581177765547609</v>
      </c>
      <c r="K41" s="35">
        <f t="shared" si="18"/>
        <v>0.30000000000000004</v>
      </c>
      <c r="L41" s="54"/>
      <c r="M41" s="54"/>
      <c r="N41" s="35">
        <f t="shared" si="13"/>
        <v>0.37224055367735559</v>
      </c>
      <c r="O41" s="54"/>
      <c r="P41" s="35">
        <f t="shared" si="14"/>
        <v>2</v>
      </c>
      <c r="Q41" s="54"/>
      <c r="R41" s="35">
        <f t="shared" si="15"/>
        <v>0.3298274799038976</v>
      </c>
      <c r="S41" s="54"/>
      <c r="T41" s="35">
        <f t="shared" si="16"/>
        <v>2</v>
      </c>
      <c r="U41" s="54"/>
      <c r="V41" s="54"/>
      <c r="W41" s="54"/>
      <c r="X41" s="54"/>
      <c r="Y41" s="54"/>
      <c r="Z41" s="54"/>
      <c r="AA41" s="54"/>
      <c r="AB41" s="54"/>
      <c r="AC41" s="9"/>
    </row>
    <row r="42" spans="1:29" x14ac:dyDescent="0.2">
      <c r="A42"/>
      <c r="B42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9"/>
    </row>
    <row r="43" spans="1:29" ht="15" x14ac:dyDescent="0.2">
      <c r="A43"/>
      <c r="B43" s="50" t="s">
        <v>167</v>
      </c>
      <c r="C43" s="35">
        <f t="shared" ref="C43:K43" si="19">AVERAGE(C$39:C$41)</f>
        <v>0.33333333333333331</v>
      </c>
      <c r="D43" s="35">
        <f t="shared" si="19"/>
        <v>0.33333333333333331</v>
      </c>
      <c r="E43" s="35">
        <f t="shared" si="19"/>
        <v>0.33333333333333331</v>
      </c>
      <c r="F43" s="35">
        <f t="shared" si="19"/>
        <v>0.33333333333333331</v>
      </c>
      <c r="G43" s="35">
        <f t="shared" si="19"/>
        <v>0.33333333333333331</v>
      </c>
      <c r="H43" s="35">
        <f t="shared" si="19"/>
        <v>0.33333333333333331</v>
      </c>
      <c r="I43" s="35">
        <f t="shared" si="19"/>
        <v>0.33333333333333326</v>
      </c>
      <c r="J43" s="35">
        <f t="shared" si="19"/>
        <v>0.33333333333333331</v>
      </c>
      <c r="K43" s="35">
        <f t="shared" si="19"/>
        <v>0.33333333333333331</v>
      </c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9"/>
    </row>
    <row r="44" spans="1:29" ht="15" x14ac:dyDescent="0.2">
      <c r="A44"/>
      <c r="B44" s="50" t="s">
        <v>168</v>
      </c>
      <c r="C44" s="35">
        <f t="shared" ref="C44:K44" si="20">STDEV(C$39:C$41)</f>
        <v>0.1469161683908283</v>
      </c>
      <c r="D44" s="35">
        <f t="shared" si="20"/>
        <v>0.14950228061011669</v>
      </c>
      <c r="E44" s="35">
        <f t="shared" si="20"/>
        <v>5.5555555555555677E-2</v>
      </c>
      <c r="F44" s="35">
        <f t="shared" si="20"/>
        <v>0.20697462480382817</v>
      </c>
      <c r="G44" s="35">
        <f t="shared" si="20"/>
        <v>0.1154700538379254</v>
      </c>
      <c r="H44" s="35">
        <f t="shared" si="20"/>
        <v>0.28867513459481292</v>
      </c>
      <c r="I44" s="35">
        <f t="shared" si="20"/>
        <v>1.2974163352575859E-2</v>
      </c>
      <c r="J44" s="35">
        <f t="shared" si="20"/>
        <v>1.3027716586006982E-2</v>
      </c>
      <c r="K44" s="35">
        <f t="shared" si="20"/>
        <v>5.7735026918963005E-2</v>
      </c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9"/>
    </row>
    <row r="45" spans="1:29" ht="15" x14ac:dyDescent="0.2">
      <c r="A45"/>
      <c r="B45" s="50" t="s">
        <v>169</v>
      </c>
      <c r="C45" s="35">
        <f t="shared" ref="C45:K45" si="21">STDEV(C$39:C$41)/AVERAGE(C$39:C$41)</f>
        <v>0.44074850517248493</v>
      </c>
      <c r="D45" s="35">
        <f t="shared" si="21"/>
        <v>0.44850684183035011</v>
      </c>
      <c r="E45" s="35">
        <f t="shared" si="21"/>
        <v>0.16666666666666705</v>
      </c>
      <c r="F45" s="35">
        <f t="shared" si="21"/>
        <v>0.62092387441148456</v>
      </c>
      <c r="G45" s="35">
        <f t="shared" si="21"/>
        <v>0.34641016151377624</v>
      </c>
      <c r="H45" s="35">
        <f t="shared" si="21"/>
        <v>0.86602540378443882</v>
      </c>
      <c r="I45" s="35">
        <f t="shared" si="21"/>
        <v>3.8922490057727584E-2</v>
      </c>
      <c r="J45" s="35">
        <f t="shared" si="21"/>
        <v>3.9083149758020949E-2</v>
      </c>
      <c r="K45" s="35">
        <f t="shared" si="21"/>
        <v>0.17320508075688903</v>
      </c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9"/>
    </row>
    <row r="46" spans="1:29" x14ac:dyDescent="0.2">
      <c r="A46"/>
      <c r="B46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9"/>
    </row>
    <row r="47" spans="1:29" ht="15" x14ac:dyDescent="0.2">
      <c r="A47"/>
      <c r="B47" s="50" t="s">
        <v>185</v>
      </c>
      <c r="C47" s="35">
        <f t="shared" ref="C47:K47" si="22">C45/SUM($C$45:$K$45)</f>
        <v>0.14034376803361651</v>
      </c>
      <c r="D47" s="35">
        <f t="shared" si="22"/>
        <v>0.14281418866456572</v>
      </c>
      <c r="E47" s="35">
        <f t="shared" si="22"/>
        <v>5.3070237859227654E-2</v>
      </c>
      <c r="F47" s="35">
        <f t="shared" si="22"/>
        <v>0.19771546624494366</v>
      </c>
      <c r="G47" s="35">
        <f t="shared" si="22"/>
        <v>0.11030441801033719</v>
      </c>
      <c r="H47" s="35">
        <f t="shared" si="22"/>
        <v>0.27576104502584242</v>
      </c>
      <c r="I47" s="35">
        <f t="shared" si="22"/>
        <v>1.2393754832622129E-2</v>
      </c>
      <c r="J47" s="35">
        <f t="shared" si="22"/>
        <v>1.2444912323675896E-2</v>
      </c>
      <c r="K47" s="35">
        <f t="shared" si="22"/>
        <v>5.5152209005168887E-2</v>
      </c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9"/>
    </row>
    <row r="48" spans="1:29" x14ac:dyDescent="0.2">
      <c r="A48"/>
      <c r="B48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9"/>
    </row>
    <row r="49" spans="1:29" x14ac:dyDescent="0.2">
      <c r="A49"/>
      <c r="B49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9"/>
    </row>
    <row r="50" spans="1:29" x14ac:dyDescent="0.2">
      <c r="A50"/>
      <c r="B50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9"/>
    </row>
    <row r="51" spans="1:29" x14ac:dyDescent="0.2">
      <c r="A51"/>
      <c r="B51" t="s">
        <v>186</v>
      </c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9"/>
    </row>
    <row r="52" spans="1:29" x14ac:dyDescent="0.2">
      <c r="A52"/>
      <c r="B52" t="s">
        <v>187</v>
      </c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9"/>
    </row>
    <row r="53" spans="1:29" x14ac:dyDescent="0.2">
      <c r="A53"/>
      <c r="B53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9"/>
    </row>
    <row r="54" spans="1:29" x14ac:dyDescent="0.2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 s="9"/>
    </row>
    <row r="55" spans="1:29" x14ac:dyDescent="0.2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 s="9"/>
    </row>
    <row r="56" spans="1:29" x14ac:dyDescent="0.2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 s="9"/>
    </row>
    <row r="57" spans="1:29" x14ac:dyDescent="0.2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 s="9"/>
    </row>
    <row r="58" spans="1:29" x14ac:dyDescent="0.2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 s="9"/>
    </row>
    <row r="59" spans="1:29" x14ac:dyDescent="0.2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 s="9"/>
    </row>
    <row r="60" spans="1:29" x14ac:dyDescent="0.2">
      <c r="C60" s="9"/>
      <c r="D60" s="9"/>
      <c r="E60" s="9"/>
      <c r="F60" s="9"/>
      <c r="G60" s="9"/>
      <c r="H60" s="9"/>
      <c r="I60" s="9"/>
      <c r="J60" s="9"/>
      <c r="K60" s="9"/>
      <c r="L60" s="9"/>
      <c r="M60" s="9"/>
      <c r="N60" s="9"/>
      <c r="O60" s="9"/>
      <c r="P60" s="9"/>
      <c r="Q60" s="9"/>
      <c r="R60" s="9"/>
      <c r="S60" s="9"/>
      <c r="T60" s="9"/>
      <c r="U60" s="9"/>
      <c r="V60" s="9"/>
      <c r="W60" s="9"/>
      <c r="X60" s="9"/>
      <c r="Y60" s="9"/>
      <c r="Z60" s="9"/>
      <c r="AA60" s="9"/>
      <c r="AB60" s="9"/>
      <c r="AC60" s="9"/>
    </row>
    <row r="61" spans="1:29" x14ac:dyDescent="0.2">
      <c r="C61" s="9"/>
      <c r="D61" s="9"/>
      <c r="E61" s="9"/>
      <c r="F61" s="9"/>
      <c r="G61" s="9"/>
      <c r="H61" s="9"/>
      <c r="I61" s="9"/>
      <c r="J61" s="9"/>
      <c r="K61" s="9"/>
      <c r="L61" s="9"/>
      <c r="M61" s="9"/>
      <c r="N61" s="9"/>
      <c r="O61" s="9"/>
      <c r="P61" s="9"/>
      <c r="Q61" s="9"/>
      <c r="R61" s="9"/>
      <c r="S61" s="9"/>
      <c r="T61" s="9"/>
      <c r="U61" s="9"/>
      <c r="V61" s="9"/>
      <c r="W61" s="9"/>
      <c r="X61" s="9"/>
      <c r="Y61" s="9"/>
      <c r="Z61" s="9"/>
      <c r="AA61" s="9"/>
      <c r="AB61" s="9"/>
      <c r="AC61" s="9"/>
    </row>
    <row r="62" spans="1:29" x14ac:dyDescent="0.2">
      <c r="C62" s="9"/>
      <c r="D62" s="9"/>
      <c r="E62" s="9"/>
      <c r="F62" s="9"/>
      <c r="G62" s="9"/>
      <c r="H62" s="9"/>
      <c r="I62" s="9"/>
      <c r="J62" s="9"/>
      <c r="K62" s="9"/>
      <c r="L62" s="9"/>
      <c r="M62" s="9"/>
      <c r="N62" s="9"/>
      <c r="O62" s="9"/>
      <c r="P62" s="9"/>
      <c r="Q62" s="9"/>
      <c r="R62" s="9"/>
      <c r="S62" s="9"/>
      <c r="T62" s="9"/>
      <c r="U62" s="9"/>
      <c r="V62" s="9"/>
      <c r="W62" s="9"/>
      <c r="X62" s="9"/>
      <c r="Y62" s="9"/>
      <c r="Z62" s="9"/>
      <c r="AA62" s="9"/>
      <c r="AB62" s="9"/>
      <c r="AC62" s="9"/>
    </row>
    <row r="63" spans="1:29" x14ac:dyDescent="0.2">
      <c r="C63" s="9"/>
      <c r="D63" s="9"/>
      <c r="E63" s="9"/>
      <c r="F63" s="9"/>
      <c r="G63" s="9"/>
      <c r="H63" s="9"/>
      <c r="I63" s="9"/>
      <c r="J63" s="9"/>
      <c r="K63" s="9"/>
      <c r="L63" s="9"/>
      <c r="M63" s="9"/>
      <c r="N63" s="9"/>
      <c r="O63" s="9"/>
      <c r="P63" s="9"/>
      <c r="Q63" s="9"/>
      <c r="R63" s="9"/>
      <c r="S63" s="9"/>
      <c r="T63" s="9"/>
      <c r="U63" s="9"/>
      <c r="V63" s="9"/>
      <c r="W63" s="9"/>
      <c r="X63" s="9"/>
      <c r="Y63" s="9"/>
      <c r="Z63" s="9"/>
      <c r="AA63" s="9"/>
      <c r="AB63" s="9"/>
      <c r="AC63" s="9"/>
    </row>
    <row r="64" spans="1:29" x14ac:dyDescent="0.2">
      <c r="C64" s="9"/>
      <c r="D64" s="9"/>
      <c r="E64" s="9"/>
      <c r="F64" s="9"/>
      <c r="G64" s="9"/>
      <c r="H64" s="9"/>
      <c r="I64" s="9"/>
      <c r="J64" s="9"/>
      <c r="K64" s="9"/>
      <c r="L64" s="9"/>
      <c r="M64" s="9"/>
      <c r="N64" s="9"/>
      <c r="O64" s="9"/>
      <c r="P64" s="9"/>
      <c r="Q64" s="9"/>
      <c r="R64" s="9"/>
      <c r="S64" s="9"/>
      <c r="T64" s="9"/>
      <c r="U64" s="9"/>
      <c r="V64" s="9"/>
      <c r="W64" s="9"/>
      <c r="X64" s="9"/>
      <c r="Y64" s="9"/>
      <c r="Z64" s="9"/>
      <c r="AA64" s="9"/>
      <c r="AB64" s="9"/>
      <c r="AC64" s="9"/>
    </row>
    <row r="65" spans="3:29" x14ac:dyDescent="0.2">
      <c r="C65" s="9"/>
      <c r="D65" s="9"/>
      <c r="E65" s="9"/>
      <c r="F65" s="9"/>
      <c r="G65" s="9"/>
      <c r="H65" s="9"/>
      <c r="I65" s="9"/>
      <c r="J65" s="9"/>
      <c r="K65" s="9"/>
      <c r="L65" s="9"/>
      <c r="M65" s="9"/>
      <c r="N65" s="9"/>
      <c r="O65" s="9"/>
      <c r="P65" s="9"/>
      <c r="Q65" s="9"/>
      <c r="R65" s="9"/>
      <c r="S65" s="9"/>
      <c r="T65" s="9"/>
      <c r="U65" s="9"/>
      <c r="V65" s="9"/>
      <c r="W65" s="9"/>
      <c r="X65" s="9"/>
      <c r="Y65" s="9"/>
      <c r="Z65" s="9"/>
      <c r="AA65" s="9"/>
      <c r="AB65" s="9"/>
      <c r="AC65" s="9"/>
    </row>
    <row r="66" spans="3:29" x14ac:dyDescent="0.2">
      <c r="C66" s="9"/>
      <c r="D66" s="9"/>
      <c r="E66" s="9"/>
      <c r="F66" s="9"/>
      <c r="G66" s="9"/>
      <c r="H66" s="9"/>
      <c r="I66" s="9"/>
      <c r="J66" s="9"/>
      <c r="K66" s="9"/>
      <c r="L66" s="9"/>
      <c r="M66" s="9"/>
      <c r="N66" s="9"/>
      <c r="O66" s="9"/>
      <c r="P66" s="9"/>
      <c r="Q66" s="9"/>
      <c r="R66" s="9"/>
      <c r="S66" s="9"/>
      <c r="T66" s="9"/>
      <c r="U66" s="9"/>
      <c r="V66" s="9"/>
      <c r="W66" s="9"/>
      <c r="X66" s="9"/>
      <c r="Y66" s="9"/>
      <c r="Z66" s="9"/>
      <c r="AA66" s="9"/>
      <c r="AB66" s="9"/>
      <c r="AC66" s="9"/>
    </row>
    <row r="67" spans="3:29" x14ac:dyDescent="0.2">
      <c r="C67" s="9"/>
      <c r="D67" s="9"/>
      <c r="E67" s="9"/>
      <c r="F67" s="9"/>
      <c r="G67" s="9"/>
      <c r="H67" s="9"/>
      <c r="I67" s="9"/>
      <c r="J67" s="9"/>
      <c r="K67" s="9"/>
      <c r="L67" s="9"/>
      <c r="M67" s="9"/>
      <c r="N67" s="9"/>
      <c r="O67" s="9"/>
      <c r="P67" s="9"/>
      <c r="Q67" s="9"/>
      <c r="R67" s="9"/>
      <c r="S67" s="9"/>
      <c r="T67" s="9"/>
      <c r="U67" s="9"/>
      <c r="V67" s="9"/>
      <c r="W67" s="9"/>
      <c r="X67" s="9"/>
      <c r="Y67" s="9"/>
      <c r="Z67" s="9"/>
      <c r="AA67" s="9"/>
      <c r="AB67" s="9"/>
      <c r="AC67" s="9"/>
    </row>
    <row r="68" spans="3:29" x14ac:dyDescent="0.2">
      <c r="C68" s="9"/>
      <c r="D68" s="9"/>
      <c r="E68" s="9"/>
      <c r="F68" s="9"/>
      <c r="G68" s="9"/>
      <c r="H68" s="9"/>
      <c r="I68" s="9"/>
      <c r="J68" s="9"/>
      <c r="K68" s="9"/>
      <c r="L68" s="9"/>
      <c r="M68" s="9"/>
      <c r="N68" s="9"/>
      <c r="O68" s="9"/>
      <c r="P68" s="9"/>
      <c r="Q68" s="9"/>
      <c r="R68" s="9"/>
      <c r="S68" s="9"/>
      <c r="T68" s="9"/>
      <c r="U68" s="9"/>
      <c r="V68" s="9"/>
      <c r="W68" s="9"/>
      <c r="X68" s="9"/>
      <c r="Y68" s="9"/>
      <c r="Z68" s="9"/>
      <c r="AA68" s="9"/>
      <c r="AB68" s="9"/>
      <c r="AC68" s="9"/>
    </row>
    <row r="69" spans="3:29" x14ac:dyDescent="0.2">
      <c r="C69" s="9"/>
      <c r="D69" s="9"/>
      <c r="E69" s="9"/>
      <c r="F69" s="9"/>
      <c r="G69" s="9"/>
      <c r="H69" s="9"/>
      <c r="I69" s="9"/>
      <c r="J69" s="9"/>
      <c r="K69" s="9"/>
      <c r="L69" s="9"/>
      <c r="M69" s="9"/>
      <c r="N69" s="9"/>
      <c r="O69" s="9"/>
      <c r="P69" s="9"/>
      <c r="Q69" s="9"/>
      <c r="R69" s="9"/>
      <c r="S69" s="9"/>
      <c r="T69" s="9"/>
      <c r="U69" s="9"/>
      <c r="V69" s="9"/>
      <c r="W69" s="9"/>
      <c r="X69" s="9"/>
      <c r="Y69" s="9"/>
      <c r="Z69" s="9"/>
      <c r="AA69" s="9"/>
      <c r="AB69" s="9"/>
      <c r="AC69" s="9"/>
    </row>
    <row r="70" spans="3:29" x14ac:dyDescent="0.2">
      <c r="C70" s="9"/>
      <c r="D70" s="9"/>
      <c r="E70" s="9"/>
      <c r="F70" s="9"/>
      <c r="G70" s="9"/>
      <c r="H70" s="9"/>
      <c r="I70" s="9"/>
      <c r="J70" s="9"/>
      <c r="K70" s="9"/>
      <c r="L70" s="9"/>
      <c r="M70" s="9"/>
      <c r="N70" s="9"/>
      <c r="O70" s="9"/>
      <c r="P70" s="9"/>
      <c r="Q70" s="9"/>
      <c r="R70" s="9"/>
      <c r="S70" s="9"/>
      <c r="T70" s="9"/>
      <c r="U70" s="9"/>
      <c r="V70" s="9"/>
      <c r="W70" s="9"/>
      <c r="X70" s="9"/>
      <c r="Y70" s="9"/>
      <c r="Z70" s="9"/>
      <c r="AA70" s="9"/>
      <c r="AB70" s="9"/>
      <c r="AC70" s="9"/>
    </row>
    <row r="71" spans="3:29" x14ac:dyDescent="0.2">
      <c r="C71" s="9"/>
      <c r="D71" s="9"/>
      <c r="E71" s="9"/>
      <c r="F71" s="9"/>
      <c r="G71" s="9"/>
      <c r="H71" s="9"/>
      <c r="I71" s="9"/>
      <c r="J71" s="9"/>
      <c r="K71" s="9"/>
      <c r="L71" s="9"/>
      <c r="M71" s="9"/>
      <c r="N71" s="9"/>
      <c r="O71" s="9"/>
      <c r="P71" s="9"/>
      <c r="Q71" s="9"/>
      <c r="R71" s="9"/>
      <c r="S71" s="9"/>
      <c r="T71" s="9"/>
      <c r="U71" s="9"/>
      <c r="V71" s="9"/>
      <c r="W71" s="9"/>
      <c r="X71" s="9"/>
      <c r="Y71" s="9"/>
      <c r="Z71" s="9"/>
      <c r="AA71" s="9"/>
      <c r="AB71" s="9"/>
      <c r="AC71" s="9"/>
    </row>
    <row r="72" spans="3:29" x14ac:dyDescent="0.2">
      <c r="C72" s="9"/>
      <c r="D72" s="9"/>
      <c r="E72" s="9"/>
      <c r="F72" s="9"/>
      <c r="G72" s="9"/>
      <c r="H72" s="9"/>
      <c r="I72" s="9"/>
      <c r="J72" s="9"/>
      <c r="K72" s="9"/>
      <c r="L72" s="9"/>
      <c r="M72" s="9"/>
      <c r="N72" s="9"/>
      <c r="O72" s="9"/>
      <c r="P72" s="9"/>
      <c r="Q72" s="9"/>
      <c r="R72" s="9"/>
      <c r="S72" s="9"/>
      <c r="T72" s="9"/>
      <c r="U72" s="9"/>
      <c r="V72" s="9"/>
      <c r="W72" s="9"/>
      <c r="X72" s="9"/>
      <c r="Y72" s="9"/>
      <c r="Z72" s="9"/>
      <c r="AA72" s="9"/>
      <c r="AB72" s="9"/>
      <c r="AC72" s="9"/>
    </row>
    <row r="73" spans="3:29" x14ac:dyDescent="0.2">
      <c r="C73" s="9"/>
      <c r="D73" s="9"/>
      <c r="E73" s="9"/>
      <c r="F73" s="9"/>
      <c r="G73" s="9"/>
      <c r="H73" s="9"/>
      <c r="I73" s="9"/>
      <c r="J73" s="9"/>
      <c r="K73" s="9"/>
      <c r="L73" s="9"/>
      <c r="M73" s="9"/>
      <c r="N73" s="9"/>
      <c r="O73" s="9"/>
      <c r="P73" s="9"/>
      <c r="Q73" s="9"/>
      <c r="R73" s="9"/>
      <c r="S73" s="9"/>
      <c r="T73" s="9"/>
      <c r="U73" s="9"/>
      <c r="V73" s="9"/>
      <c r="W73" s="9"/>
      <c r="X73" s="9"/>
      <c r="Y73" s="9"/>
      <c r="Z73" s="9"/>
      <c r="AA73" s="9"/>
      <c r="AB73" s="9"/>
      <c r="AC73" s="9"/>
    </row>
    <row r="74" spans="3:29" x14ac:dyDescent="0.2">
      <c r="C74" s="9"/>
      <c r="D74" s="9"/>
      <c r="E74" s="9"/>
      <c r="F74" s="9"/>
      <c r="G74" s="9"/>
      <c r="H74" s="9"/>
      <c r="I74" s="9"/>
      <c r="J74" s="9"/>
      <c r="K74" s="9"/>
      <c r="L74" s="9"/>
      <c r="M74" s="9"/>
      <c r="N74" s="9"/>
      <c r="O74" s="9"/>
      <c r="P74" s="9"/>
      <c r="Q74" s="9"/>
      <c r="R74" s="9"/>
      <c r="S74" s="9"/>
      <c r="T74" s="9"/>
      <c r="U74" s="9"/>
      <c r="V74" s="9"/>
      <c r="W74" s="9"/>
      <c r="X74" s="9"/>
      <c r="Y74" s="9"/>
      <c r="Z74" s="9"/>
      <c r="AA74" s="9"/>
      <c r="AB74" s="9"/>
      <c r="AC74" s="9"/>
    </row>
    <row r="75" spans="3:29" x14ac:dyDescent="0.2">
      <c r="C75" s="9"/>
      <c r="D75" s="9"/>
      <c r="E75" s="9"/>
      <c r="F75" s="9"/>
      <c r="G75" s="9"/>
      <c r="H75" s="9"/>
      <c r="I75" s="9"/>
      <c r="J75" s="9"/>
      <c r="K75" s="9"/>
      <c r="L75" s="9"/>
      <c r="M75" s="9"/>
      <c r="N75" s="9"/>
      <c r="O75" s="9"/>
      <c r="P75" s="9"/>
      <c r="Q75" s="9"/>
      <c r="R75" s="9"/>
      <c r="S75" s="9"/>
      <c r="T75" s="9"/>
      <c r="U75" s="9"/>
      <c r="V75" s="9"/>
      <c r="W75" s="9"/>
      <c r="X75" s="9"/>
      <c r="Y75" s="9"/>
      <c r="Z75" s="9"/>
      <c r="AA75" s="9"/>
      <c r="AB75" s="9"/>
      <c r="AC75" s="9"/>
    </row>
    <row r="76" spans="3:29" x14ac:dyDescent="0.2">
      <c r="C76" s="9"/>
      <c r="D76" s="9"/>
      <c r="E76" s="9"/>
      <c r="F76" s="9"/>
      <c r="G76" s="9"/>
      <c r="H76" s="9"/>
      <c r="I76" s="9"/>
      <c r="J76" s="9"/>
      <c r="K76" s="9"/>
      <c r="L76" s="9"/>
      <c r="M76" s="9"/>
      <c r="N76" s="9"/>
      <c r="O76" s="9"/>
      <c r="P76" s="9"/>
      <c r="Q76" s="9"/>
      <c r="R76" s="9"/>
      <c r="S76" s="9"/>
      <c r="T76" s="9"/>
      <c r="U76" s="9"/>
      <c r="V76" s="9"/>
      <c r="W76" s="9"/>
      <c r="X76" s="9"/>
      <c r="Y76" s="9"/>
      <c r="Z76" s="9"/>
      <c r="AA76" s="9"/>
      <c r="AB76" s="9"/>
      <c r="AC76" s="9"/>
    </row>
    <row r="77" spans="3:29" x14ac:dyDescent="0.2">
      <c r="C77" s="9"/>
      <c r="D77" s="9"/>
      <c r="E77" s="9"/>
      <c r="F77" s="9"/>
      <c r="G77" s="9"/>
      <c r="H77" s="9"/>
      <c r="I77" s="9"/>
      <c r="J77" s="9"/>
      <c r="K77" s="9"/>
      <c r="L77" s="9"/>
      <c r="M77" s="9"/>
      <c r="N77" s="9"/>
      <c r="O77" s="9"/>
      <c r="P77" s="9"/>
      <c r="Q77" s="9"/>
      <c r="R77" s="9"/>
      <c r="S77" s="9"/>
      <c r="T77" s="9"/>
      <c r="U77" s="9"/>
      <c r="V77" s="9"/>
      <c r="W77" s="9"/>
      <c r="X77" s="9"/>
      <c r="Y77" s="9"/>
      <c r="Z77" s="9"/>
      <c r="AA77" s="9"/>
      <c r="AB77" s="9"/>
      <c r="AC77" s="9"/>
    </row>
  </sheetData>
  <phoneticPr fontId="3" type="noConversion"/>
  <conditionalFormatting sqref="C39:K41 N39:N41 P39:P41">
    <cfRule type="expression" dxfId="1" priority="1" stopIfTrue="1">
      <formula>$P39=1</formula>
    </cfRule>
  </conditionalFormatting>
  <dataValidations count="1">
    <dataValidation type="list" allowBlank="1" showInputMessage="1" showErrorMessage="1" sqref="C7:K7" xr:uid="{C6B39C8C-851A-4DEC-AA12-223EEEAC4C11}">
      <formula1>"MAX,MIN"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27EDCA-C8B7-400E-A57F-C3BDCB876014}">
  <sheetPr codeName="Sheet3"/>
  <dimension ref="A1:T49"/>
  <sheetViews>
    <sheetView showGridLines="0" tabSelected="1" topLeftCell="A35" workbookViewId="0">
      <selection activeCell="G48" sqref="G48"/>
    </sheetView>
  </sheetViews>
  <sheetFormatPr defaultColWidth="8.85546875" defaultRowHeight="12.75" x14ac:dyDescent="0.2"/>
  <cols>
    <col min="1" max="1" width="3.42578125" style="1" customWidth="1"/>
    <col min="2" max="2" width="14.140625" style="1" customWidth="1"/>
    <col min="3" max="11" width="9.42578125" style="1" customWidth="1"/>
    <col min="12" max="12" width="3" style="1" customWidth="1"/>
    <col min="13" max="13" width="8.85546875" style="1"/>
    <col min="14" max="14" width="12.140625" style="1" customWidth="1"/>
    <col min="15" max="15" width="2" style="1" customWidth="1"/>
    <col min="16" max="16" width="8.85546875" style="1"/>
    <col min="17" max="17" width="4" style="1" customWidth="1"/>
    <col min="18" max="18" width="8.85546875" style="1"/>
    <col min="19" max="19" width="1.42578125" style="1" customWidth="1"/>
    <col min="20" max="16384" width="8.85546875" style="1"/>
  </cols>
  <sheetData>
    <row r="1" spans="1:20" ht="18.75" x14ac:dyDescent="0.3">
      <c r="A1" s="26" t="s">
        <v>181</v>
      </c>
    </row>
    <row r="2" spans="1:20" ht="18.75" x14ac:dyDescent="0.3">
      <c r="A2" s="26"/>
    </row>
    <row r="3" spans="1:20" ht="15" x14ac:dyDescent="0.25">
      <c r="B3" s="27" t="s">
        <v>180</v>
      </c>
      <c r="C3" s="29" t="s">
        <v>156</v>
      </c>
      <c r="D3" s="29" t="s">
        <v>156</v>
      </c>
      <c r="E3" s="41" t="s">
        <v>156</v>
      </c>
      <c r="F3" s="29" t="s">
        <v>155</v>
      </c>
      <c r="G3" s="29" t="s">
        <v>156</v>
      </c>
      <c r="H3" s="29" t="s">
        <v>156</v>
      </c>
      <c r="I3" s="29" t="s">
        <v>155</v>
      </c>
      <c r="J3" s="29" t="s">
        <v>155</v>
      </c>
      <c r="K3" s="29" t="s">
        <v>155</v>
      </c>
    </row>
    <row r="4" spans="1:20" ht="15" x14ac:dyDescent="0.25">
      <c r="C4" s="42" t="s">
        <v>157</v>
      </c>
      <c r="D4" s="22" t="s">
        <v>158</v>
      </c>
      <c r="E4" s="22" t="s">
        <v>159</v>
      </c>
      <c r="F4" s="22" t="s">
        <v>160</v>
      </c>
      <c r="G4" s="22" t="s">
        <v>161</v>
      </c>
      <c r="H4" s="22" t="s">
        <v>162</v>
      </c>
      <c r="I4" s="22" t="s">
        <v>163</v>
      </c>
      <c r="J4" s="22" t="s">
        <v>164</v>
      </c>
      <c r="K4" s="22" t="s">
        <v>165</v>
      </c>
    </row>
    <row r="5" spans="1:20" ht="15" x14ac:dyDescent="0.25">
      <c r="B5" s="23" t="s">
        <v>171</v>
      </c>
      <c r="C5" s="30">
        <v>4000</v>
      </c>
      <c r="D5" s="30">
        <v>11</v>
      </c>
      <c r="E5" s="30">
        <v>30</v>
      </c>
      <c r="F5" s="30">
        <v>25</v>
      </c>
      <c r="G5" s="30">
        <v>1</v>
      </c>
      <c r="H5" s="30">
        <v>0</v>
      </c>
      <c r="I5" s="31">
        <v>290000000</v>
      </c>
      <c r="J5" s="31">
        <v>592000000</v>
      </c>
      <c r="K5" s="30">
        <v>6</v>
      </c>
    </row>
    <row r="6" spans="1:20" ht="15" x14ac:dyDescent="0.25">
      <c r="B6" s="23" t="s">
        <v>172</v>
      </c>
      <c r="C6" s="30">
        <v>9330</v>
      </c>
      <c r="D6" s="30">
        <v>26</v>
      </c>
      <c r="E6" s="30">
        <v>25</v>
      </c>
      <c r="F6" s="30">
        <v>25</v>
      </c>
      <c r="G6" s="30">
        <v>2</v>
      </c>
      <c r="H6" s="30">
        <v>1</v>
      </c>
      <c r="I6" s="31">
        <v>310000000</v>
      </c>
      <c r="J6" s="31">
        <v>633000000</v>
      </c>
      <c r="K6" s="30">
        <v>8</v>
      </c>
    </row>
    <row r="7" spans="1:20" ht="15" x14ac:dyDescent="0.25">
      <c r="B7" s="23" t="s">
        <v>173</v>
      </c>
      <c r="C7" s="30">
        <v>10660</v>
      </c>
      <c r="D7" s="30">
        <v>30</v>
      </c>
      <c r="E7" s="30">
        <v>35</v>
      </c>
      <c r="F7" s="30">
        <v>120</v>
      </c>
      <c r="G7" s="30">
        <v>2</v>
      </c>
      <c r="H7" s="30">
        <v>1</v>
      </c>
      <c r="I7" s="31">
        <v>310000000</v>
      </c>
      <c r="J7" s="31">
        <v>633000000</v>
      </c>
      <c r="K7" s="30">
        <v>8</v>
      </c>
    </row>
    <row r="9" spans="1:20" x14ac:dyDescent="0.2">
      <c r="B9" s="25" t="s">
        <v>166</v>
      </c>
    </row>
    <row r="10" spans="1:20" ht="15" x14ac:dyDescent="0.25">
      <c r="C10" s="22" t="s">
        <v>157</v>
      </c>
      <c r="D10" s="22" t="s">
        <v>158</v>
      </c>
      <c r="E10" s="22" t="s">
        <v>159</v>
      </c>
      <c r="F10" s="22" t="s">
        <v>160</v>
      </c>
      <c r="G10" s="22" t="s">
        <v>161</v>
      </c>
      <c r="H10" s="22" t="s">
        <v>162</v>
      </c>
      <c r="I10" s="22" t="s">
        <v>163</v>
      </c>
      <c r="J10" s="22" t="s">
        <v>164</v>
      </c>
      <c r="K10" s="22" t="s">
        <v>165</v>
      </c>
      <c r="N10" s="22" t="s">
        <v>176</v>
      </c>
      <c r="P10" s="24" t="s">
        <v>175</v>
      </c>
      <c r="R10" s="22" t="s">
        <v>174</v>
      </c>
      <c r="T10" s="24" t="s">
        <v>175</v>
      </c>
    </row>
    <row r="11" spans="1:20" ht="15" x14ac:dyDescent="0.25">
      <c r="B11" s="23" t="s">
        <v>171</v>
      </c>
      <c r="C11" s="32" cm="1">
        <f t="array" ref="C11">IF(C$3="MAX",C5/SUM(C$5:C$7),(1/C5)/(SUM(1/C$5:C$7)))</f>
        <v>0.16673614005835766</v>
      </c>
      <c r="D11" s="32" cm="1">
        <f t="array" ref="D11">IF(D$3="MAX",D5/SUM(D$5:D$7),(1/D5)/(SUM(1/D$5:D$7)))</f>
        <v>0.16417910447761194</v>
      </c>
      <c r="E11" s="32" cm="1">
        <f t="array" ref="E11">IF(E$3="MAX",E5/SUM(E$5:E$7),(1/E5)/(SUM(1/E$5:E$7)))</f>
        <v>0.33333333333333331</v>
      </c>
      <c r="F11" s="32" cm="1">
        <f t="array" ref="F11">IF(F$3="MAX",F5/SUM(F$5:F$7),(1/F5)/(SUM(1/F$5:F$7)))</f>
        <v>0.45283018867924529</v>
      </c>
      <c r="G11" s="32" cm="1">
        <f t="array" ref="G11">IF(G$3="MAX",G5/SUM(G$5:G$7),(1/G5)/(SUM(1/G$5:G$7)))</f>
        <v>0.2</v>
      </c>
      <c r="H11" s="32" cm="1">
        <f t="array" ref="H11">IF(H$3="MAX",H5/SUM(H$5:H$7),(1/H5)/(SUM(1/H$5:H$7)))</f>
        <v>0</v>
      </c>
      <c r="I11" s="32" cm="1">
        <f t="array" ref="I11">IF(I$3="MAX",I5/SUM(I$5:I$7),(1/I5)/(SUM(1/I$5:I$7)))</f>
        <v>0.348314606741573</v>
      </c>
      <c r="J11" s="32" cm="1">
        <f t="array" ref="J11">IF(J$3="MAX",J5/SUM(J$5:J$7),(1/J5)/(SUM(1/J$5:J$7)))</f>
        <v>0.34837644468904794</v>
      </c>
      <c r="K11" s="32" cm="1">
        <f t="array" ref="K11">IF(K$3="MAX",K5/SUM(K$5:K$7),(1/K5)/(SUM(1/K$5:K$7)))</f>
        <v>0.4</v>
      </c>
      <c r="N11" s="32">
        <f>SUMPRODUCT(C11:K11,$C$19:$K$19)</f>
        <v>0.20684330229022821</v>
      </c>
      <c r="P11" s="33">
        <f>RANK(N11,$N$11:$N$13)</f>
        <v>3</v>
      </c>
      <c r="R11" s="32" cm="1">
        <f t="array" ref="R11">MMULT(C11:K11,$N$35:$N$43)</f>
        <v>0.31690716641390748</v>
      </c>
      <c r="T11" s="33">
        <f>RANK(R11,$R$11:$R$13)</f>
        <v>3</v>
      </c>
    </row>
    <row r="12" spans="1:20" ht="15" x14ac:dyDescent="0.25">
      <c r="B12" s="23" t="s">
        <v>172</v>
      </c>
      <c r="C12" s="32" cm="1">
        <f t="array" ref="C12">IF(C$3="MAX",C6/SUM(C$5:C$7),(1/C6)/(SUM(1/C$5:C$7)))</f>
        <v>0.38891204668611923</v>
      </c>
      <c r="D12" s="32" cm="1">
        <f t="array" ref="D12">IF(D$3="MAX",D6/SUM(D$5:D$7),(1/D6)/(SUM(1/D$5:D$7)))</f>
        <v>0.38805970149253732</v>
      </c>
      <c r="E12" s="32" cm="1">
        <f t="array" ref="E12">IF(E$3="MAX",E6/SUM(E$5:E$7),(1/E6)/(SUM(1/E$5:E$7)))</f>
        <v>0.27777777777777779</v>
      </c>
      <c r="F12" s="32" cm="1">
        <f t="array" ref="F12">IF(F$3="MAX",F6/SUM(F$5:F$7),(1/F6)/(SUM(1/F$5:F$7)))</f>
        <v>0.45283018867924529</v>
      </c>
      <c r="G12" s="32" cm="1">
        <f t="array" ref="G12">IF(G$3="MAX",G6/SUM(G$5:G$7),(1/G6)/(SUM(1/G$5:G$7)))</f>
        <v>0.4</v>
      </c>
      <c r="H12" s="32" cm="1">
        <f t="array" ref="H12">IF(H$3="MAX",H6/SUM(H$5:H$7),(1/H6)/(SUM(1/H$5:H$7)))</f>
        <v>0.5</v>
      </c>
      <c r="I12" s="32" cm="1">
        <f t="array" ref="I12">IF(I$3="MAX",I6/SUM(I$5:I$7),(1/I6)/(SUM(1/I$5:I$7)))</f>
        <v>0.32584269662921345</v>
      </c>
      <c r="J12" s="32" cm="1">
        <f t="array" ref="J12">IF(J$3="MAX",J6/SUM(J$5:J$7),(1/J6)/(SUM(1/J$5:J$7)))</f>
        <v>0.32581177765547609</v>
      </c>
      <c r="K12" s="32" cm="1">
        <f t="array" ref="K12">IF(K$3="MAX",K6/SUM(K$5:K$7),(1/K6)/(SUM(1/K$5:K$7)))</f>
        <v>0.30000000000000004</v>
      </c>
      <c r="N12" s="32">
        <f>SUMPRODUCT(C12:K12,$C$19:$K$19)</f>
        <v>0.42091614403241628</v>
      </c>
      <c r="P12" s="33">
        <f>RANK(N12,$N$11:$N$13)</f>
        <v>1</v>
      </c>
      <c r="R12" s="32" cm="1">
        <f t="array" ref="R12">MMULT(C12:K12,$N$35:$N$43)</f>
        <v>0.35326535368219486</v>
      </c>
      <c r="T12" s="33">
        <f>RANK(R12,$R$11:$R$13)</f>
        <v>1</v>
      </c>
    </row>
    <row r="13" spans="1:20" ht="15" x14ac:dyDescent="0.25">
      <c r="B13" s="23" t="s">
        <v>173</v>
      </c>
      <c r="C13" s="32" cm="1">
        <f t="array" ref="C13">IF(C$3="MAX",C7/SUM(C$5:C$7),(1/C7)/(SUM(1/C$5:C$7)))</f>
        <v>0.44435181325552314</v>
      </c>
      <c r="D13" s="32" cm="1">
        <f t="array" ref="D13">IF(D$3="MAX",D7/SUM(D$5:D$7),(1/D7)/(SUM(1/D$5:D$7)))</f>
        <v>0.44776119402985076</v>
      </c>
      <c r="E13" s="32" cm="1">
        <f t="array" ref="E13">IF(E$3="MAX",E7/SUM(E$5:E$7),(1/E7)/(SUM(1/E$5:E$7)))</f>
        <v>0.3888888888888889</v>
      </c>
      <c r="F13" s="32" cm="1">
        <f t="array" ref="F13">IF(F$3="MAX",F7/SUM(F$5:F$7),(1/F7)/(SUM(1/F$5:F$7)))</f>
        <v>9.4339622641509427E-2</v>
      </c>
      <c r="G13" s="32" cm="1">
        <f t="array" ref="G13">IF(G$3="MAX",G7/SUM(G$5:G$7),(1/G7)/(SUM(1/G$5:G$7)))</f>
        <v>0.4</v>
      </c>
      <c r="H13" s="32" cm="1">
        <f t="array" ref="H13">IF(H$3="MAX",H7/SUM(H$5:H$7),(1/H7)/(SUM(1/H$5:H$7)))</f>
        <v>0.5</v>
      </c>
      <c r="I13" s="32" cm="1">
        <f t="array" ref="I13">IF(I$3="MAX",I7/SUM(I$5:I$7),(1/I7)/(SUM(1/I$5:I$7)))</f>
        <v>0.32584269662921345</v>
      </c>
      <c r="J13" s="32" cm="1">
        <f t="array" ref="J13">IF(J$3="MAX",J7/SUM(J$5:J$7),(1/J7)/(SUM(1/J$5:J$7)))</f>
        <v>0.32581177765547609</v>
      </c>
      <c r="K13" s="32" cm="1">
        <f t="array" ref="K13">IF(K$3="MAX",K7/SUM(K$5:K$7),(1/K7)/(SUM(1/K$5:K$7)))</f>
        <v>0.30000000000000004</v>
      </c>
      <c r="N13" s="32">
        <f>SUMPRODUCT(C13:K13,$C$19:$K$19)</f>
        <v>0.37224055367735559</v>
      </c>
      <c r="P13" s="33">
        <f>RANK(N13,$N$11:$N$13)</f>
        <v>2</v>
      </c>
      <c r="R13" s="32" cm="1">
        <f t="array" ref="R13">MMULT(C13:K13,$N$35:$N$43)</f>
        <v>0.3298274799038976</v>
      </c>
      <c r="T13" s="33">
        <f>RANK(R13,$R$11:$R$13)</f>
        <v>2</v>
      </c>
    </row>
    <row r="15" spans="1:20" ht="15" x14ac:dyDescent="0.25">
      <c r="B15" s="23" t="s">
        <v>167</v>
      </c>
      <c r="C15" s="32">
        <f>AVERAGE(C11:C13)</f>
        <v>0.33333333333333331</v>
      </c>
      <c r="D15" s="32">
        <f t="shared" ref="D15:K15" si="0">AVERAGE(D11:D13)</f>
        <v>0.33333333333333331</v>
      </c>
      <c r="E15" s="32">
        <f t="shared" si="0"/>
        <v>0.33333333333333331</v>
      </c>
      <c r="F15" s="32">
        <f t="shared" si="0"/>
        <v>0.33333333333333331</v>
      </c>
      <c r="G15" s="32">
        <f t="shared" si="0"/>
        <v>0.33333333333333331</v>
      </c>
      <c r="H15" s="32">
        <f t="shared" si="0"/>
        <v>0.33333333333333331</v>
      </c>
      <c r="I15" s="32">
        <f t="shared" si="0"/>
        <v>0.33333333333333326</v>
      </c>
      <c r="J15" s="32">
        <f t="shared" si="0"/>
        <v>0.33333333333333331</v>
      </c>
      <c r="K15" s="32">
        <f t="shared" si="0"/>
        <v>0.33333333333333331</v>
      </c>
    </row>
    <row r="16" spans="1:20" ht="15" x14ac:dyDescent="0.25">
      <c r="B16" s="23" t="s">
        <v>168</v>
      </c>
      <c r="C16" s="32">
        <f>STDEV(C11:C13)</f>
        <v>0.1469161683908283</v>
      </c>
      <c r="D16" s="32">
        <f t="shared" ref="D16:K16" si="1">STDEV(D11:D13)</f>
        <v>0.14950228061011669</v>
      </c>
      <c r="E16" s="32">
        <f t="shared" si="1"/>
        <v>5.5555555555555677E-2</v>
      </c>
      <c r="F16" s="32">
        <f t="shared" si="1"/>
        <v>0.20697462480382817</v>
      </c>
      <c r="G16" s="32">
        <f t="shared" si="1"/>
        <v>0.1154700538379254</v>
      </c>
      <c r="H16" s="32">
        <f t="shared" si="1"/>
        <v>0.28867513459481292</v>
      </c>
      <c r="I16" s="32">
        <f t="shared" si="1"/>
        <v>1.2974163352575859E-2</v>
      </c>
      <c r="J16" s="32">
        <f t="shared" si="1"/>
        <v>1.3027716586006982E-2</v>
      </c>
      <c r="K16" s="32">
        <f t="shared" si="1"/>
        <v>5.7735026918963005E-2</v>
      </c>
    </row>
    <row r="17" spans="2:11" ht="15" x14ac:dyDescent="0.25">
      <c r="B17" s="23" t="s">
        <v>169</v>
      </c>
      <c r="C17" s="32">
        <f t="shared" ref="C17:K17" si="2">STDEV(C11:C13)/AVERAGE(C11:C13)</f>
        <v>0.44074850517248493</v>
      </c>
      <c r="D17" s="32">
        <f t="shared" si="2"/>
        <v>0.44850684183035011</v>
      </c>
      <c r="E17" s="32">
        <f t="shared" si="2"/>
        <v>0.16666666666666705</v>
      </c>
      <c r="F17" s="32">
        <f t="shared" si="2"/>
        <v>0.62092387441148456</v>
      </c>
      <c r="G17" s="32">
        <f t="shared" si="2"/>
        <v>0.34641016151377624</v>
      </c>
      <c r="H17" s="32">
        <f t="shared" si="2"/>
        <v>0.86602540378443882</v>
      </c>
      <c r="I17" s="32">
        <f t="shared" si="2"/>
        <v>3.8922490057727584E-2</v>
      </c>
      <c r="J17" s="32">
        <f t="shared" si="2"/>
        <v>3.9083149758020949E-2</v>
      </c>
      <c r="K17" s="32">
        <f t="shared" si="2"/>
        <v>0.17320508075688903</v>
      </c>
    </row>
    <row r="18" spans="2:11" ht="15" x14ac:dyDescent="0.2">
      <c r="C18" s="34"/>
      <c r="D18" s="34"/>
      <c r="E18" s="34"/>
      <c r="F18" s="34"/>
      <c r="G18" s="34"/>
      <c r="H18" s="34"/>
      <c r="I18" s="34"/>
      <c r="J18" s="34"/>
      <c r="K18" s="11"/>
    </row>
    <row r="19" spans="2:11" ht="42.75" customHeight="1" x14ac:dyDescent="0.2">
      <c r="B19" s="28" t="s">
        <v>170</v>
      </c>
      <c r="C19" s="35">
        <f t="shared" ref="C19:K19" si="3">C17/SUM($C$17:$K$17)</f>
        <v>0.14034376803361651</v>
      </c>
      <c r="D19" s="35">
        <f t="shared" si="3"/>
        <v>0.14281418866456572</v>
      </c>
      <c r="E19" s="35">
        <f t="shared" si="3"/>
        <v>5.3070237859227654E-2</v>
      </c>
      <c r="F19" s="35">
        <f t="shared" si="3"/>
        <v>0.19771546624494366</v>
      </c>
      <c r="G19" s="35">
        <f t="shared" si="3"/>
        <v>0.11030441801033719</v>
      </c>
      <c r="H19" s="35">
        <f t="shared" si="3"/>
        <v>0.27576104502584242</v>
      </c>
      <c r="I19" s="35">
        <f t="shared" si="3"/>
        <v>1.2393754832622129E-2</v>
      </c>
      <c r="J19" s="35">
        <f t="shared" si="3"/>
        <v>1.2444912323675896E-2</v>
      </c>
      <c r="K19" s="35">
        <f t="shared" si="3"/>
        <v>5.5152209005168887E-2</v>
      </c>
    </row>
    <row r="20" spans="2:11" ht="15" x14ac:dyDescent="0.2">
      <c r="C20" s="36"/>
      <c r="D20" s="36"/>
      <c r="E20" s="36"/>
      <c r="F20" s="36"/>
      <c r="G20" s="36"/>
      <c r="H20" s="36"/>
      <c r="I20" s="36"/>
      <c r="J20" s="36"/>
    </row>
    <row r="21" spans="2:11" x14ac:dyDescent="0.2">
      <c r="B21" s="25" t="s">
        <v>182</v>
      </c>
    </row>
    <row r="22" spans="2:11" ht="15" x14ac:dyDescent="0.25">
      <c r="C22" s="22" t="s">
        <v>157</v>
      </c>
      <c r="D22" s="22" t="s">
        <v>158</v>
      </c>
      <c r="E22" s="22" t="s">
        <v>159</v>
      </c>
      <c r="F22" s="22" t="s">
        <v>160</v>
      </c>
      <c r="G22" s="22" t="s">
        <v>161</v>
      </c>
      <c r="H22" s="22" t="s">
        <v>162</v>
      </c>
      <c r="I22" s="22" t="s">
        <v>163</v>
      </c>
      <c r="J22" s="22" t="s">
        <v>164</v>
      </c>
      <c r="K22" s="22" t="s">
        <v>165</v>
      </c>
    </row>
    <row r="23" spans="2:11" ht="15" x14ac:dyDescent="0.25">
      <c r="B23" s="22" t="s">
        <v>157</v>
      </c>
      <c r="C23" s="37">
        <f>IF($B23=C$22,1,1/INDEX($C$23:$K$31,MATCH($B23,$C$22:$K$22,0),MATCH(C$22,$B$23:$B$31,0)))</f>
        <v>1</v>
      </c>
      <c r="D23" s="38">
        <v>1</v>
      </c>
      <c r="E23" s="38">
        <v>1</v>
      </c>
      <c r="F23" s="38">
        <f t="shared" ref="F23:F25" si="4">1/3</f>
        <v>0.33333333333333331</v>
      </c>
      <c r="G23" s="38">
        <v>5</v>
      </c>
      <c r="H23" s="38">
        <v>1</v>
      </c>
      <c r="I23" s="38">
        <f t="shared" ref="I23:K26" si="5">1/3</f>
        <v>0.33333333333333331</v>
      </c>
      <c r="J23" s="38">
        <f t="shared" si="5"/>
        <v>0.33333333333333331</v>
      </c>
      <c r="K23" s="38">
        <v>0.25</v>
      </c>
    </row>
    <row r="24" spans="2:11" ht="15" x14ac:dyDescent="0.25">
      <c r="B24" s="22" t="s">
        <v>158</v>
      </c>
      <c r="C24" s="37">
        <f t="shared" ref="C24:F31" si="6">IF($B24=C$22,1,1/INDEX($C$23:$K$31,MATCH(C$22,$C$22:$K$22,0),MATCH($B24,$B$23:$B$31,0)))</f>
        <v>1</v>
      </c>
      <c r="D24" s="37">
        <f t="shared" si="6"/>
        <v>1</v>
      </c>
      <c r="E24" s="38">
        <v>1</v>
      </c>
      <c r="F24" s="38">
        <f t="shared" si="4"/>
        <v>0.33333333333333331</v>
      </c>
      <c r="G24" s="38">
        <v>5</v>
      </c>
      <c r="H24" s="38">
        <v>1</v>
      </c>
      <c r="I24" s="38">
        <f t="shared" si="5"/>
        <v>0.33333333333333331</v>
      </c>
      <c r="J24" s="38">
        <f t="shared" si="5"/>
        <v>0.33333333333333331</v>
      </c>
      <c r="K24" s="38">
        <v>0.25</v>
      </c>
    </row>
    <row r="25" spans="2:11" ht="15" x14ac:dyDescent="0.25">
      <c r="B25" s="22" t="s">
        <v>159</v>
      </c>
      <c r="C25" s="37">
        <f t="shared" si="6"/>
        <v>1</v>
      </c>
      <c r="D25" s="37">
        <f t="shared" si="6"/>
        <v>1</v>
      </c>
      <c r="E25" s="37">
        <f t="shared" si="6"/>
        <v>1</v>
      </c>
      <c r="F25" s="38">
        <f t="shared" si="4"/>
        <v>0.33333333333333331</v>
      </c>
      <c r="G25" s="38">
        <v>5</v>
      </c>
      <c r="H25" s="38">
        <v>1</v>
      </c>
      <c r="I25" s="38">
        <f t="shared" si="5"/>
        <v>0.33333333333333331</v>
      </c>
      <c r="J25" s="38">
        <f t="shared" si="5"/>
        <v>0.33333333333333331</v>
      </c>
      <c r="K25" s="38">
        <v>0.25</v>
      </c>
    </row>
    <row r="26" spans="2:11" ht="15" x14ac:dyDescent="0.25">
      <c r="B26" s="22" t="s">
        <v>160</v>
      </c>
      <c r="C26" s="37">
        <f t="shared" si="6"/>
        <v>3</v>
      </c>
      <c r="D26" s="37">
        <f t="shared" si="6"/>
        <v>3</v>
      </c>
      <c r="E26" s="37">
        <f t="shared" si="6"/>
        <v>3</v>
      </c>
      <c r="F26" s="37">
        <f t="shared" si="6"/>
        <v>1</v>
      </c>
      <c r="G26" s="38">
        <v>3</v>
      </c>
      <c r="H26" s="38">
        <v>1</v>
      </c>
      <c r="I26" s="38">
        <f t="shared" si="5"/>
        <v>0.33333333333333331</v>
      </c>
      <c r="J26" s="38">
        <f t="shared" si="5"/>
        <v>0.33333333333333331</v>
      </c>
      <c r="K26" s="38">
        <f t="shared" si="5"/>
        <v>0.33333333333333331</v>
      </c>
    </row>
    <row r="27" spans="2:11" ht="15" x14ac:dyDescent="0.25">
      <c r="B27" s="22" t="s">
        <v>161</v>
      </c>
      <c r="C27" s="37">
        <f t="shared" si="6"/>
        <v>0.2</v>
      </c>
      <c r="D27" s="37">
        <f t="shared" si="6"/>
        <v>0.2</v>
      </c>
      <c r="E27" s="37">
        <f t="shared" si="6"/>
        <v>0.2</v>
      </c>
      <c r="F27" s="37">
        <f t="shared" si="6"/>
        <v>0.33333333333333331</v>
      </c>
      <c r="G27" s="37">
        <f>IF($B27=G$22,1,1/INDEX($C$23:$K$31,MATCH(G$22,$C$22:$K$22,0),MATCH($B27,$B$23:$B$31,0)))</f>
        <v>1</v>
      </c>
      <c r="H27" s="38">
        <v>0.2</v>
      </c>
      <c r="I27" s="38">
        <v>0.2</v>
      </c>
      <c r="J27" s="38">
        <v>0.2</v>
      </c>
      <c r="K27" s="38">
        <f>1/7</f>
        <v>0.14285714285714285</v>
      </c>
    </row>
    <row r="28" spans="2:11" ht="15" x14ac:dyDescent="0.25">
      <c r="B28" s="22" t="s">
        <v>162</v>
      </c>
      <c r="C28" s="37">
        <f t="shared" si="6"/>
        <v>1</v>
      </c>
      <c r="D28" s="37">
        <f t="shared" si="6"/>
        <v>1</v>
      </c>
      <c r="E28" s="37">
        <f t="shared" si="6"/>
        <v>1</v>
      </c>
      <c r="F28" s="37">
        <f t="shared" si="6"/>
        <v>1</v>
      </c>
      <c r="G28" s="37">
        <f>IF($B28=G$22,1,1/INDEX($C$23:$K$31,MATCH(G$22,$C$22:$K$22,0),MATCH($B28,$B$23:$B$31,0)))</f>
        <v>5</v>
      </c>
      <c r="H28" s="37">
        <f>IF($B28=H$22,1,1/INDEX($C$23:$K$31,MATCH(H$22,$C$22:$K$22,0),MATCH($B28,$B$23:$B$31,0)))</f>
        <v>1</v>
      </c>
      <c r="I28" s="38">
        <f t="shared" ref="I28:K28" si="7">1/3</f>
        <v>0.33333333333333331</v>
      </c>
      <c r="J28" s="38">
        <f t="shared" si="7"/>
        <v>0.33333333333333331</v>
      </c>
      <c r="K28" s="38">
        <f t="shared" si="7"/>
        <v>0.33333333333333331</v>
      </c>
    </row>
    <row r="29" spans="2:11" ht="15" x14ac:dyDescent="0.25">
      <c r="B29" s="22" t="s">
        <v>163</v>
      </c>
      <c r="C29" s="37">
        <f t="shared" si="6"/>
        <v>3</v>
      </c>
      <c r="D29" s="37">
        <f t="shared" si="6"/>
        <v>3</v>
      </c>
      <c r="E29" s="37">
        <f t="shared" si="6"/>
        <v>3</v>
      </c>
      <c r="F29" s="37">
        <f t="shared" si="6"/>
        <v>3</v>
      </c>
      <c r="G29" s="37">
        <f>IF($B29=G$22,1,1/INDEX($C$23:$K$31,MATCH(G$22,$C$22:$K$22,0),MATCH($B29,$B$23:$B$31,0)))</f>
        <v>5</v>
      </c>
      <c r="H29" s="37">
        <f>IF($B29=H$22,1,1/INDEX($C$23:$K$31,MATCH(H$22,$C$22:$K$22,0),MATCH($B29,$B$23:$B$31,0)))</f>
        <v>3</v>
      </c>
      <c r="I29" s="37">
        <f>IF($B29=I$22,1,1/INDEX($C$23:$K$31,MATCH(I$22,$C$22:$K$22,0),MATCH($B29,$B$23:$B$31,0)))</f>
        <v>1</v>
      </c>
      <c r="J29" s="38">
        <v>1</v>
      </c>
      <c r="K29" s="38">
        <v>1</v>
      </c>
    </row>
    <row r="30" spans="2:11" ht="15" x14ac:dyDescent="0.25">
      <c r="B30" s="22" t="s">
        <v>164</v>
      </c>
      <c r="C30" s="37">
        <f t="shared" si="6"/>
        <v>3</v>
      </c>
      <c r="D30" s="37">
        <f t="shared" si="6"/>
        <v>3</v>
      </c>
      <c r="E30" s="37">
        <f t="shared" si="6"/>
        <v>3</v>
      </c>
      <c r="F30" s="37">
        <f t="shared" si="6"/>
        <v>3</v>
      </c>
      <c r="G30" s="37">
        <f>IF($B30=G$22,1,1/INDEX($C$23:$K$31,MATCH(G$22,$C$22:$K$22,0),MATCH($B30,$B$23:$B$31,0)))</f>
        <v>5</v>
      </c>
      <c r="H30" s="37">
        <f>IF($B30=H$22,1,1/INDEX($C$23:$K$31,MATCH(H$22,$C$22:$K$22,0),MATCH($B30,$B$23:$B$31,0)))</f>
        <v>3</v>
      </c>
      <c r="I30" s="37">
        <f>IF($B30=I$22,1,1/INDEX($C$23:$K$31,MATCH(I$22,$C$22:$K$22,0),MATCH($B30,$B$23:$B$31,0)))</f>
        <v>1</v>
      </c>
      <c r="J30" s="37">
        <f>IF($B30=J$22,1,1/INDEX($C$23:$K$31,MATCH(J$22,$C$22:$K$22,0),MATCH($B30,$B$23:$B$31,0)))</f>
        <v>1</v>
      </c>
      <c r="K30" s="38">
        <v>1</v>
      </c>
    </row>
    <row r="31" spans="2:11" ht="15" x14ac:dyDescent="0.25">
      <c r="B31" s="22" t="s">
        <v>165</v>
      </c>
      <c r="C31" s="37">
        <f t="shared" si="6"/>
        <v>4</v>
      </c>
      <c r="D31" s="37">
        <f t="shared" si="6"/>
        <v>4</v>
      </c>
      <c r="E31" s="37">
        <f t="shared" si="6"/>
        <v>4</v>
      </c>
      <c r="F31" s="37">
        <f t="shared" si="6"/>
        <v>3</v>
      </c>
      <c r="G31" s="37">
        <f>IF($B31=G$22,1,1/INDEX($C$23:$K$31,MATCH(G$22,$C$22:$K$22,0),MATCH($B31,$B$23:$B$31,0)))</f>
        <v>7</v>
      </c>
      <c r="H31" s="37">
        <f>IF($B31=H$22,1,1/INDEX($C$23:$K$31,MATCH(H$22,$C$22:$K$22,0),MATCH($B31,$B$23:$B$31,0)))</f>
        <v>3</v>
      </c>
      <c r="I31" s="37">
        <f>IF($B31=I$22,1,1/INDEX($C$23:$K$31,MATCH(I$22,$C$22:$K$22,0),MATCH($B31,$B$23:$B$31,0)))</f>
        <v>1</v>
      </c>
      <c r="J31" s="37">
        <f>IF($B31=J$22,1,1/INDEX($C$23:$K$31,MATCH(J$22,$C$22:$K$22,0),MATCH($B31,$B$23:$B$31,0)))</f>
        <v>1</v>
      </c>
      <c r="K31" s="37">
        <f>IF($B31=K$22,1,1/INDEX($C$23:$K$31,MATCH(K$22,$C$22:$K$22,0),MATCH($B31,$B$23:$B$31,0)))</f>
        <v>1</v>
      </c>
    </row>
    <row r="32" spans="2:11" ht="15" x14ac:dyDescent="0.2">
      <c r="B32" s="36"/>
      <c r="C32" s="34"/>
      <c r="D32" s="34"/>
      <c r="E32" s="34"/>
      <c r="F32" s="34"/>
      <c r="G32" s="34"/>
      <c r="H32" s="34"/>
      <c r="I32" s="34"/>
      <c r="J32" s="34"/>
      <c r="K32" s="34"/>
    </row>
    <row r="33" spans="2:14" x14ac:dyDescent="0.2">
      <c r="B33" s="25" t="s">
        <v>177</v>
      </c>
    </row>
    <row r="34" spans="2:14" ht="15" x14ac:dyDescent="0.25">
      <c r="C34" s="22" t="s">
        <v>157</v>
      </c>
      <c r="D34" s="22" t="s">
        <v>158</v>
      </c>
      <c r="E34" s="22" t="s">
        <v>159</v>
      </c>
      <c r="F34" s="22" t="s">
        <v>160</v>
      </c>
      <c r="G34" s="22" t="s">
        <v>161</v>
      </c>
      <c r="H34" s="22" t="s">
        <v>162</v>
      </c>
      <c r="I34" s="22" t="s">
        <v>163</v>
      </c>
      <c r="J34" s="22" t="s">
        <v>164</v>
      </c>
      <c r="K34" s="22" t="s">
        <v>165</v>
      </c>
      <c r="M34" s="22" t="s">
        <v>178</v>
      </c>
      <c r="N34" s="22" t="s">
        <v>179</v>
      </c>
    </row>
    <row r="35" spans="2:14" ht="15" x14ac:dyDescent="0.25">
      <c r="B35" s="22" t="s">
        <v>157</v>
      </c>
      <c r="C35" s="32">
        <f t="shared" ref="C35:K35" si="8">C23/SUM(C$23:C$31)</f>
        <v>5.8139534883720929E-2</v>
      </c>
      <c r="D35" s="32">
        <f t="shared" si="8"/>
        <v>5.8139534883720929E-2</v>
      </c>
      <c r="E35" s="32">
        <f t="shared" si="8"/>
        <v>5.8139534883720929E-2</v>
      </c>
      <c r="F35" s="32">
        <f t="shared" si="8"/>
        <v>2.7027027027027025E-2</v>
      </c>
      <c r="G35" s="32">
        <f t="shared" si="8"/>
        <v>0.12195121951219512</v>
      </c>
      <c r="H35" s="32">
        <f t="shared" si="8"/>
        <v>7.0422535211267609E-2</v>
      </c>
      <c r="I35" s="32">
        <f t="shared" si="8"/>
        <v>6.8493150684931503E-2</v>
      </c>
      <c r="J35" s="32">
        <f t="shared" si="8"/>
        <v>6.8493150684931503E-2</v>
      </c>
      <c r="K35" s="32">
        <f t="shared" si="8"/>
        <v>5.4830287206266322E-2</v>
      </c>
      <c r="M35" s="32">
        <f t="shared" ref="M35:M43" si="9">SUM(C35:K35)</f>
        <v>0.58563597497778197</v>
      </c>
      <c r="N35" s="32">
        <f t="shared" ref="N35:N43" si="10">M35/SUM($M$35:$M$43)</f>
        <v>6.5070663886420216E-2</v>
      </c>
    </row>
    <row r="36" spans="2:14" ht="15" x14ac:dyDescent="0.25">
      <c r="B36" s="22" t="s">
        <v>158</v>
      </c>
      <c r="C36" s="32">
        <f t="shared" ref="C36:K43" si="11">C24/SUM(C$23:C$31)</f>
        <v>5.8139534883720929E-2</v>
      </c>
      <c r="D36" s="32">
        <f t="shared" si="11"/>
        <v>5.8139534883720929E-2</v>
      </c>
      <c r="E36" s="32">
        <f t="shared" si="11"/>
        <v>5.8139534883720929E-2</v>
      </c>
      <c r="F36" s="32">
        <f t="shared" si="11"/>
        <v>2.7027027027027025E-2</v>
      </c>
      <c r="G36" s="32">
        <f t="shared" si="11"/>
        <v>0.12195121951219512</v>
      </c>
      <c r="H36" s="32">
        <f t="shared" si="11"/>
        <v>7.0422535211267609E-2</v>
      </c>
      <c r="I36" s="32">
        <f t="shared" si="11"/>
        <v>6.8493150684931503E-2</v>
      </c>
      <c r="J36" s="32">
        <f t="shared" si="11"/>
        <v>6.8493150684931503E-2</v>
      </c>
      <c r="K36" s="32">
        <f t="shared" si="11"/>
        <v>5.4830287206266322E-2</v>
      </c>
      <c r="M36" s="32">
        <f t="shared" si="9"/>
        <v>0.58563597497778197</v>
      </c>
      <c r="N36" s="32">
        <f t="shared" si="10"/>
        <v>6.5070663886420216E-2</v>
      </c>
    </row>
    <row r="37" spans="2:14" ht="15" x14ac:dyDescent="0.25">
      <c r="B37" s="22" t="s">
        <v>159</v>
      </c>
      <c r="C37" s="32">
        <f t="shared" si="11"/>
        <v>5.8139534883720929E-2</v>
      </c>
      <c r="D37" s="32">
        <f t="shared" si="11"/>
        <v>5.8139534883720929E-2</v>
      </c>
      <c r="E37" s="32">
        <f t="shared" si="11"/>
        <v>5.8139534883720929E-2</v>
      </c>
      <c r="F37" s="32">
        <f t="shared" si="11"/>
        <v>2.7027027027027025E-2</v>
      </c>
      <c r="G37" s="32">
        <f t="shared" si="11"/>
        <v>0.12195121951219512</v>
      </c>
      <c r="H37" s="32">
        <f t="shared" si="11"/>
        <v>7.0422535211267609E-2</v>
      </c>
      <c r="I37" s="32">
        <f t="shared" si="11"/>
        <v>6.8493150684931503E-2</v>
      </c>
      <c r="J37" s="32">
        <f t="shared" si="11"/>
        <v>6.8493150684931503E-2</v>
      </c>
      <c r="K37" s="32">
        <f t="shared" si="11"/>
        <v>5.4830287206266322E-2</v>
      </c>
      <c r="M37" s="32">
        <f t="shared" si="9"/>
        <v>0.58563597497778197</v>
      </c>
      <c r="N37" s="32">
        <f t="shared" si="10"/>
        <v>6.5070663886420216E-2</v>
      </c>
    </row>
    <row r="38" spans="2:14" ht="15" x14ac:dyDescent="0.25">
      <c r="B38" s="22" t="s">
        <v>160</v>
      </c>
      <c r="C38" s="32">
        <f t="shared" si="11"/>
        <v>0.1744186046511628</v>
      </c>
      <c r="D38" s="32">
        <f t="shared" si="11"/>
        <v>0.1744186046511628</v>
      </c>
      <c r="E38" s="32">
        <f t="shared" si="11"/>
        <v>0.1744186046511628</v>
      </c>
      <c r="F38" s="32">
        <f t="shared" si="11"/>
        <v>8.1081081081081072E-2</v>
      </c>
      <c r="G38" s="32">
        <f t="shared" si="11"/>
        <v>7.3170731707317069E-2</v>
      </c>
      <c r="H38" s="32">
        <f t="shared" si="11"/>
        <v>7.0422535211267609E-2</v>
      </c>
      <c r="I38" s="32">
        <f t="shared" si="11"/>
        <v>6.8493150684931503E-2</v>
      </c>
      <c r="J38" s="32">
        <f t="shared" si="11"/>
        <v>6.8493150684931503E-2</v>
      </c>
      <c r="K38" s="32">
        <f t="shared" si="11"/>
        <v>7.3107049608355096E-2</v>
      </c>
      <c r="M38" s="32">
        <f t="shared" si="9"/>
        <v>0.95802351293137222</v>
      </c>
      <c r="N38" s="32">
        <f t="shared" si="10"/>
        <v>0.10644705699237469</v>
      </c>
    </row>
    <row r="39" spans="2:14" ht="15" x14ac:dyDescent="0.25">
      <c r="B39" s="22" t="s">
        <v>161</v>
      </c>
      <c r="C39" s="32">
        <f t="shared" si="11"/>
        <v>1.1627906976744188E-2</v>
      </c>
      <c r="D39" s="32">
        <f t="shared" si="11"/>
        <v>1.1627906976744188E-2</v>
      </c>
      <c r="E39" s="32">
        <f t="shared" si="11"/>
        <v>1.1627906976744188E-2</v>
      </c>
      <c r="F39" s="32">
        <f t="shared" si="11"/>
        <v>2.7027027027027025E-2</v>
      </c>
      <c r="G39" s="32">
        <f t="shared" si="11"/>
        <v>2.4390243902439025E-2</v>
      </c>
      <c r="H39" s="32">
        <f t="shared" si="11"/>
        <v>1.4084507042253523E-2</v>
      </c>
      <c r="I39" s="32">
        <f t="shared" si="11"/>
        <v>4.1095890410958909E-2</v>
      </c>
      <c r="J39" s="32">
        <f t="shared" si="11"/>
        <v>4.1095890410958909E-2</v>
      </c>
      <c r="K39" s="32">
        <f t="shared" si="11"/>
        <v>3.1331592689295036E-2</v>
      </c>
      <c r="M39" s="32">
        <f t="shared" si="9"/>
        <v>0.21390887241316497</v>
      </c>
      <c r="N39" s="32">
        <f t="shared" si="10"/>
        <v>2.3767652490351662E-2</v>
      </c>
    </row>
    <row r="40" spans="2:14" ht="15" x14ac:dyDescent="0.25">
      <c r="B40" s="22" t="s">
        <v>162</v>
      </c>
      <c r="C40" s="32">
        <f t="shared" si="11"/>
        <v>5.8139534883720929E-2</v>
      </c>
      <c r="D40" s="32">
        <f t="shared" si="11"/>
        <v>5.8139534883720929E-2</v>
      </c>
      <c r="E40" s="32">
        <f t="shared" si="11"/>
        <v>5.8139534883720929E-2</v>
      </c>
      <c r="F40" s="32">
        <f t="shared" si="11"/>
        <v>8.1081081081081072E-2</v>
      </c>
      <c r="G40" s="32">
        <f t="shared" si="11"/>
        <v>0.12195121951219512</v>
      </c>
      <c r="H40" s="32">
        <f t="shared" si="11"/>
        <v>7.0422535211267609E-2</v>
      </c>
      <c r="I40" s="32">
        <f t="shared" si="11"/>
        <v>6.8493150684931503E-2</v>
      </c>
      <c r="J40" s="32">
        <f t="shared" si="11"/>
        <v>6.8493150684931503E-2</v>
      </c>
      <c r="K40" s="32">
        <f t="shared" si="11"/>
        <v>7.3107049608355096E-2</v>
      </c>
      <c r="M40" s="32">
        <f t="shared" si="9"/>
        <v>0.65796679143392478</v>
      </c>
      <c r="N40" s="32">
        <f t="shared" si="10"/>
        <v>7.3107421270436082E-2</v>
      </c>
    </row>
    <row r="41" spans="2:14" ht="15" x14ac:dyDescent="0.25">
      <c r="B41" s="22" t="s">
        <v>163</v>
      </c>
      <c r="C41" s="32">
        <f t="shared" si="11"/>
        <v>0.1744186046511628</v>
      </c>
      <c r="D41" s="32">
        <f t="shared" si="11"/>
        <v>0.1744186046511628</v>
      </c>
      <c r="E41" s="32">
        <f t="shared" si="11"/>
        <v>0.1744186046511628</v>
      </c>
      <c r="F41" s="32">
        <f t="shared" si="11"/>
        <v>0.24324324324324323</v>
      </c>
      <c r="G41" s="32">
        <f t="shared" si="11"/>
        <v>0.12195121951219512</v>
      </c>
      <c r="H41" s="32">
        <f t="shared" si="11"/>
        <v>0.21126760563380284</v>
      </c>
      <c r="I41" s="32">
        <f t="shared" si="11"/>
        <v>0.20547945205479454</v>
      </c>
      <c r="J41" s="32">
        <f t="shared" si="11"/>
        <v>0.20547945205479454</v>
      </c>
      <c r="K41" s="32">
        <f t="shared" si="11"/>
        <v>0.21932114882506529</v>
      </c>
      <c r="M41" s="32">
        <f t="shared" si="9"/>
        <v>1.7299979352773838</v>
      </c>
      <c r="N41" s="32">
        <f t="shared" si="10"/>
        <v>0.1922219928085982</v>
      </c>
    </row>
    <row r="42" spans="2:14" ht="15" x14ac:dyDescent="0.25">
      <c r="B42" s="22" t="s">
        <v>164</v>
      </c>
      <c r="C42" s="32">
        <f t="shared" si="11"/>
        <v>0.1744186046511628</v>
      </c>
      <c r="D42" s="32">
        <f t="shared" si="11"/>
        <v>0.1744186046511628</v>
      </c>
      <c r="E42" s="32">
        <f t="shared" si="11"/>
        <v>0.1744186046511628</v>
      </c>
      <c r="F42" s="32">
        <f t="shared" si="11"/>
        <v>0.24324324324324323</v>
      </c>
      <c r="G42" s="32">
        <f t="shared" si="11"/>
        <v>0.12195121951219512</v>
      </c>
      <c r="H42" s="32">
        <f t="shared" si="11"/>
        <v>0.21126760563380284</v>
      </c>
      <c r="I42" s="32">
        <f t="shared" si="11"/>
        <v>0.20547945205479454</v>
      </c>
      <c r="J42" s="32">
        <f t="shared" si="11"/>
        <v>0.20547945205479454</v>
      </c>
      <c r="K42" s="32">
        <f t="shared" si="11"/>
        <v>0.21932114882506529</v>
      </c>
      <c r="M42" s="32">
        <f t="shared" si="9"/>
        <v>1.7299979352773838</v>
      </c>
      <c r="N42" s="32">
        <f t="shared" si="10"/>
        <v>0.1922219928085982</v>
      </c>
    </row>
    <row r="43" spans="2:14" ht="15" x14ac:dyDescent="0.25">
      <c r="B43" s="22" t="s">
        <v>165</v>
      </c>
      <c r="C43" s="32">
        <f t="shared" si="11"/>
        <v>0.23255813953488372</v>
      </c>
      <c r="D43" s="32">
        <f t="shared" si="11"/>
        <v>0.23255813953488372</v>
      </c>
      <c r="E43" s="32">
        <f t="shared" si="11"/>
        <v>0.23255813953488372</v>
      </c>
      <c r="F43" s="32">
        <f t="shared" si="11"/>
        <v>0.24324324324324323</v>
      </c>
      <c r="G43" s="32">
        <f t="shared" si="11"/>
        <v>0.17073170731707318</v>
      </c>
      <c r="H43" s="32">
        <f t="shared" si="11"/>
        <v>0.21126760563380284</v>
      </c>
      <c r="I43" s="32">
        <f t="shared" si="11"/>
        <v>0.20547945205479454</v>
      </c>
      <c r="J43" s="32">
        <f t="shared" si="11"/>
        <v>0.20547945205479454</v>
      </c>
      <c r="K43" s="32">
        <f t="shared" si="11"/>
        <v>0.21932114882506529</v>
      </c>
      <c r="M43" s="32">
        <f t="shared" si="9"/>
        <v>1.9531970277334245</v>
      </c>
      <c r="N43" s="32">
        <f t="shared" si="10"/>
        <v>0.21702189197038049</v>
      </c>
    </row>
    <row r="44" spans="2:14" x14ac:dyDescent="0.2">
      <c r="C44" s="19"/>
      <c r="D44" s="19"/>
      <c r="E44" s="19"/>
      <c r="F44" s="19"/>
      <c r="G44" s="19"/>
      <c r="H44" s="19"/>
      <c r="I44" s="19"/>
      <c r="J44" s="19"/>
      <c r="K44" s="19"/>
      <c r="M44" s="21"/>
      <c r="N44" s="21"/>
    </row>
    <row r="45" spans="2:14" x14ac:dyDescent="0.2">
      <c r="C45" s="11"/>
      <c r="D45" s="11"/>
      <c r="E45" s="11"/>
      <c r="F45" s="11"/>
      <c r="G45" s="11"/>
      <c r="H45" s="11"/>
      <c r="I45" s="11"/>
      <c r="J45" s="11"/>
      <c r="K45" s="11"/>
    </row>
    <row r="46" spans="2:14" x14ac:dyDescent="0.2">
      <c r="B46" t="s">
        <v>186</v>
      </c>
      <c r="C46" s="11"/>
      <c r="D46" s="11"/>
      <c r="E46" s="11"/>
      <c r="F46" s="11"/>
      <c r="G46" s="11"/>
      <c r="H46" s="11"/>
      <c r="I46" s="11"/>
      <c r="J46" s="11"/>
      <c r="K46" s="11"/>
    </row>
    <row r="47" spans="2:14" x14ac:dyDescent="0.2">
      <c r="B47" t="s">
        <v>187</v>
      </c>
      <c r="C47" s="11"/>
      <c r="D47" s="11"/>
      <c r="E47" s="11"/>
      <c r="F47" s="11"/>
      <c r="G47" s="11"/>
      <c r="H47" s="11"/>
      <c r="I47" s="11"/>
      <c r="J47" s="11"/>
      <c r="K47" s="11"/>
    </row>
    <row r="49" spans="2:11" ht="15" x14ac:dyDescent="0.2">
      <c r="B49" s="36"/>
      <c r="C49" s="34"/>
      <c r="D49" s="34"/>
      <c r="E49" s="34"/>
      <c r="F49" s="34"/>
      <c r="G49" s="34"/>
      <c r="H49" s="34"/>
      <c r="I49" s="34"/>
      <c r="J49" s="34"/>
      <c r="K49" s="34"/>
    </row>
  </sheetData>
  <conditionalFormatting sqref="B11:K13 P11:P13 N11:N13">
    <cfRule type="expression" dxfId="0" priority="1">
      <formula>$P11=1</formula>
    </cfRule>
  </conditionalFormatting>
  <dataValidations count="2">
    <dataValidation type="list" allowBlank="1" showInputMessage="1" showErrorMessage="1" sqref="C3:K3" xr:uid="{420F7CB2-544C-49B8-BCCF-9F3504EC1B8B}">
      <formula1>"MAX,MIN"</formula1>
    </dataValidation>
    <dataValidation type="list" allowBlank="1" showInputMessage="1" showErrorMessage="1" errorTitle="Erro!" error="Favor Digitar um número inteiro entre 1 a 9!" sqref="D23" xr:uid="{6EBC09A4-256F-4B82-9A0A-5EEB92F1152E}">
      <formula1>"1,2,3,4,5,6,7,8,9"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1B78D10CAAB0D44C9AD7E4082907BD41" ma:contentTypeVersion="11" ma:contentTypeDescription="Create a new document." ma:contentTypeScope="" ma:versionID="73f23e333eb62f8d90445fb55c82d4ea">
  <xsd:schema xmlns:xsd="http://www.w3.org/2001/XMLSchema" xmlns:xs="http://www.w3.org/2001/XMLSchema" xmlns:p="http://schemas.microsoft.com/office/2006/metadata/properties" xmlns:ns3="e0363852-6871-4c09-a9dc-956e4ec466f0" xmlns:ns4="30f2e837-10af-48b2-aca0-38995739a868" targetNamespace="http://schemas.microsoft.com/office/2006/metadata/properties" ma:root="true" ma:fieldsID="0298162424ff1991a7325a5cfe6b4cd0" ns3:_="" ns4:_="">
    <xsd:import namespace="e0363852-6871-4c09-a9dc-956e4ec466f0"/>
    <xsd:import namespace="30f2e837-10af-48b2-aca0-38995739a868"/>
    <xsd:element name="properties">
      <xsd:complexType>
        <xsd:sequence>
          <xsd:element name="documentManagement">
            <xsd:complexType>
              <xsd:all>
                <xsd:element ref="ns3:SharedWithUsers" minOccurs="0"/>
                <xsd:element ref="ns3:SharedWithDetails" minOccurs="0"/>
                <xsd:element ref="ns3:SharingHintHash" minOccurs="0"/>
                <xsd:element ref="ns4:MediaServiceMetadata" minOccurs="0"/>
                <xsd:element ref="ns4:MediaServiceFastMetadata" minOccurs="0"/>
                <xsd:element ref="ns4:MediaServiceAutoTags" minOccurs="0"/>
                <xsd:element ref="ns4:MediaServiceGenerationTime" minOccurs="0"/>
                <xsd:element ref="ns4:MediaServiceEventHashCode" minOccurs="0"/>
                <xsd:element ref="ns4:MediaServiceOCR" minOccurs="0"/>
                <xsd:element ref="ns4:MediaServiceDateTaken" minOccurs="0"/>
                <xsd:element ref="ns4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0363852-6871-4c09-a9dc-956e4ec466f0" elementFormDefault="qualified">
    <xsd:import namespace="http://schemas.microsoft.com/office/2006/documentManagement/types"/>
    <xsd:import namespace="http://schemas.microsoft.com/office/infopath/2007/PartnerControls"/>
    <xsd:element name="SharedWithUsers" ma:index="8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9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0" nillable="true" ma:displayName="Sharing Hint Hash" ma:hidden="true" ma:internalName="SharingHintHash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0f2e837-10af-48b2-aca0-38995739a86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11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2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7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8" nillable="true" ma:displayName="Location" ma:internalName="MediaServiceLocation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4991647-7F4E-400C-B8EE-0E56730B78E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0363852-6871-4c09-a9dc-956e4ec466f0"/>
    <ds:schemaRef ds:uri="30f2e837-10af-48b2-aca0-38995739a86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9489C22B-C2C7-41C4-B170-6673BDC1D5C1}">
  <ds:schemaRefs>
    <ds:schemaRef ds:uri="http://purl.org/dc/terms/"/>
    <ds:schemaRef ds:uri="e0363852-6871-4c09-a9dc-956e4ec466f0"/>
    <ds:schemaRef ds:uri="http://schemas.microsoft.com/office/2006/documentManagement/types"/>
    <ds:schemaRef ds:uri="http://schemas.openxmlformats.org/package/2006/metadata/core-properties"/>
    <ds:schemaRef ds:uri="http://purl.org/dc/elements/1.1/"/>
    <ds:schemaRef ds:uri="http://schemas.microsoft.com/office/infopath/2007/PartnerControls"/>
    <ds:schemaRef ds:uri="30f2e837-10af-48b2-aca0-38995739a868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F2036FCF-35D0-47C6-ABB6-386C63EE07B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Planilha1</vt:lpstr>
      <vt:lpstr>AHP-GAUSSIANO</vt:lpstr>
      <vt:lpstr>AHP-GAUSSIANO Formulas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Baldini Fabio</dc:creator>
  <cp:lastModifiedBy>PECEGE</cp:lastModifiedBy>
  <dcterms:created xsi:type="dcterms:W3CDTF">2021-03-22T11:03:49Z</dcterms:created>
  <dcterms:modified xsi:type="dcterms:W3CDTF">2022-08-11T13:08:08Z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0x0101001B78D10CAAB0D44C9AD7E4082907BD41</vt:lpwstr>
  </property>
</Properties>
</file>